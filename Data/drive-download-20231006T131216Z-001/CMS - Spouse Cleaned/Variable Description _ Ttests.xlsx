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s/Desktop/CMS - Spouse Cleaned/"/>
    </mc:Choice>
  </mc:AlternateContent>
  <xr:revisionPtr revIDLastSave="0" documentId="13_ncr:1_{A66CCCA1-C373-D548-ACCF-E7736F3D1104}" xr6:coauthVersionLast="45" xr6:coauthVersionMax="45" xr10:uidLastSave="{00000000-0000-0000-0000-000000000000}"/>
  <bookViews>
    <workbookView xWindow="0" yWindow="460" windowWidth="27320" windowHeight="14900" xr2:uid="{00000000-000D-0000-FFFF-FFFF00000000}"/>
  </bookViews>
  <sheets>
    <sheet name="Variable Descriptions" sheetId="1" r:id="rId1"/>
    <sheet name="Variable Codes" sheetId="7" r:id="rId2"/>
    <sheet name="Plot Management" sheetId="3" r:id="rId3"/>
    <sheet name="Assets" sheetId="2" r:id="rId4"/>
    <sheet name="Processing" sheetId="4" r:id="rId5"/>
    <sheet name="Institutions" sheetId="5" r:id="rId6"/>
    <sheet name="Cassava Use (Module J)" sheetId="6" r:id="rId7"/>
    <sheet name="Summary Statistics Demographics" sheetId="12" r:id="rId8"/>
    <sheet name="Summary Statistics - Plots" sheetId="11" r:id="rId9"/>
    <sheet name="Summary Stats - Institutions" sheetId="13" r:id="rId10"/>
    <sheet name="Summary Stats - Cassava Consump" sheetId="14" r:id="rId11"/>
    <sheet name="Summary Statistics - Assets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11" i="6"/>
  <c r="H12" i="6"/>
  <c r="H6" i="6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13" i="5"/>
  <c r="I11" i="5"/>
  <c r="I10" i="5"/>
  <c r="I9" i="5"/>
  <c r="I8" i="5"/>
  <c r="I27" i="3"/>
  <c r="I28" i="3"/>
  <c r="I29" i="3"/>
  <c r="I30" i="3"/>
  <c r="I31" i="3"/>
  <c r="I32" i="3"/>
  <c r="I26" i="3"/>
  <c r="I78" i="2"/>
  <c r="I79" i="2"/>
  <c r="I77" i="2"/>
  <c r="I59" i="2"/>
  <c r="I60" i="2"/>
  <c r="I61" i="2"/>
  <c r="I63" i="2"/>
  <c r="I64" i="2"/>
  <c r="I65" i="2"/>
  <c r="I67" i="2"/>
  <c r="I68" i="2"/>
  <c r="I69" i="2"/>
  <c r="I70" i="2"/>
  <c r="I72" i="2"/>
  <c r="I73" i="2"/>
  <c r="I74" i="2"/>
  <c r="I58" i="2"/>
  <c r="I55" i="2"/>
  <c r="I56" i="2"/>
  <c r="I54" i="2"/>
  <c r="I50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1" i="2"/>
  <c r="I7" i="2"/>
  <c r="F7" i="2"/>
</calcChain>
</file>

<file path=xl/sharedStrings.xml><?xml version="1.0" encoding="utf-8"?>
<sst xmlns="http://schemas.openxmlformats.org/spreadsheetml/2006/main" count="2075" uniqueCount="827">
  <si>
    <t>ZoneID</t>
  </si>
  <si>
    <t>StateID</t>
  </si>
  <si>
    <t>LgaID</t>
  </si>
  <si>
    <t>LocalityID</t>
  </si>
  <si>
    <t>EnumerationID</t>
  </si>
  <si>
    <t>HouseID</t>
  </si>
  <si>
    <t>Individual_family_code</t>
  </si>
  <si>
    <t>A02_Sex</t>
  </si>
  <si>
    <t>A03_Age</t>
  </si>
  <si>
    <t>A04_Marital_status</t>
  </si>
  <si>
    <t>A05_Edu</t>
  </si>
  <si>
    <t>A06_Relatn_hhd</t>
  </si>
  <si>
    <t>A07_1_Main_occupatn</t>
  </si>
  <si>
    <t>A07_1b_S_OCCUPATION</t>
  </si>
  <si>
    <t>A07_2_Secondary_occupation</t>
  </si>
  <si>
    <t>A08_fam_lab_contributn</t>
  </si>
  <si>
    <t>Men_In_House</t>
  </si>
  <si>
    <t>Women_In_House</t>
  </si>
  <si>
    <t>Kids</t>
  </si>
  <si>
    <t>Male_Managed</t>
  </si>
  <si>
    <t>Female_Managed</t>
  </si>
  <si>
    <t>Joint_Managed</t>
  </si>
  <si>
    <t>Male_ICV_Managed</t>
  </si>
  <si>
    <t>Female_ICV_Managed</t>
  </si>
  <si>
    <t>Joint_ICV_Managed</t>
  </si>
  <si>
    <t>Male_NonICV_Managed</t>
  </si>
  <si>
    <t>Female_NonICV_Managed</t>
  </si>
  <si>
    <t>Joint_NonICV_Managed</t>
  </si>
  <si>
    <t>Household_ICV</t>
  </si>
  <si>
    <t>Household_NonICV</t>
  </si>
  <si>
    <t>Household_Plots</t>
  </si>
  <si>
    <t>ICV_Plot_Size</t>
  </si>
  <si>
    <t>NonICV_Plot_Size</t>
  </si>
  <si>
    <t>Male_ICV_PlotSize</t>
  </si>
  <si>
    <t>Female_ICV_PlotSize</t>
  </si>
  <si>
    <t>Joint_ICV_PlotSize</t>
  </si>
  <si>
    <t>Male_NonICV_PlotSize</t>
  </si>
  <si>
    <t>Female_NonICV_PlotSize</t>
  </si>
  <si>
    <t>Joint_NonICV_PlotSize</t>
  </si>
  <si>
    <t>House_Cassava_Plot_TotalSize</t>
  </si>
  <si>
    <t>Avg_Plot_Size</t>
  </si>
  <si>
    <t>planted</t>
  </si>
  <si>
    <t>J01_hhd_apply_fert</t>
  </si>
  <si>
    <t>J02_per_hh_inc_cassav</t>
  </si>
  <si>
    <t>J03_women_incm</t>
  </si>
  <si>
    <t>J04_hhd_food_incm</t>
  </si>
  <si>
    <t>J05_sales_perc</t>
  </si>
  <si>
    <t>J05_consumption_perc</t>
  </si>
  <si>
    <t>J05_Others_perc</t>
  </si>
  <si>
    <t>Coop_Group_Member</t>
  </si>
  <si>
    <t>Men_Only_Coop</t>
  </si>
  <si>
    <t>Women_Only_Coop</t>
  </si>
  <si>
    <t>Joint_Coop</t>
  </si>
  <si>
    <t>Male_Credit_Only</t>
  </si>
  <si>
    <t>Female_Credit_Only</t>
  </si>
  <si>
    <t>Joint_Credit</t>
  </si>
  <si>
    <t>Credit_Access</t>
  </si>
  <si>
    <t>Credit_Group_Member</t>
  </si>
  <si>
    <t>Male_CreditGroup_Only</t>
  </si>
  <si>
    <t>Women_CreditGroup_Only</t>
  </si>
  <si>
    <t>Joint_CreditGroup</t>
  </si>
  <si>
    <t>Extension_Access</t>
  </si>
  <si>
    <t>Male_Ext_Only</t>
  </si>
  <si>
    <t>Female_Ext_Only</t>
  </si>
  <si>
    <t>Joint_Ext_Access</t>
  </si>
  <si>
    <t>Fryer_Access</t>
  </si>
  <si>
    <t>Female_Fryer_Access</t>
  </si>
  <si>
    <t>Male_Fryer_Access</t>
  </si>
  <si>
    <t>Joint_Fryer_Access</t>
  </si>
  <si>
    <t>Grater_Access</t>
  </si>
  <si>
    <t>Female_Grater_Access</t>
  </si>
  <si>
    <t>Male_Grater_Access</t>
  </si>
  <si>
    <t>Joint_Grater_Access</t>
  </si>
  <si>
    <t>Presser_Access</t>
  </si>
  <si>
    <t>Female_Presser_Access</t>
  </si>
  <si>
    <t>Male_Presser_Access</t>
  </si>
  <si>
    <t>Joint_Presser_Access</t>
  </si>
  <si>
    <t>Sieve_Access</t>
  </si>
  <si>
    <t>Female_Sieve_Access</t>
  </si>
  <si>
    <t>Male_Sieve_Access</t>
  </si>
  <si>
    <t>Joint_Sieve_Access</t>
  </si>
  <si>
    <t>Male_Total_Processing_Access</t>
  </si>
  <si>
    <t>Female_Total_Processing_Access</t>
  </si>
  <si>
    <t>Joint_Total_Processing_Access</t>
  </si>
  <si>
    <t>Bike_Owned</t>
  </si>
  <si>
    <t>Number_Bikes_Owned</t>
  </si>
  <si>
    <t>Bike_Avg_value</t>
  </si>
  <si>
    <t>Bike_Own_Women</t>
  </si>
  <si>
    <t>Bike_Own_Men</t>
  </si>
  <si>
    <t>Bike_Asset_Value</t>
  </si>
  <si>
    <t>Bike_Women_Value</t>
  </si>
  <si>
    <t>Bike_Men_Value</t>
  </si>
  <si>
    <t>Cell_Owned</t>
  </si>
  <si>
    <t>Number_Cell_Owned</t>
  </si>
  <si>
    <t>Cell_Avg_value</t>
  </si>
  <si>
    <t>Cell_Own_Women</t>
  </si>
  <si>
    <t>Cell_Own_Men</t>
  </si>
  <si>
    <t>Cell_Asset_Value</t>
  </si>
  <si>
    <t>Cell_Women_Value</t>
  </si>
  <si>
    <t>Cell_Men_Value</t>
  </si>
  <si>
    <t>Dishes_Owned</t>
  </si>
  <si>
    <t>Number_Dishes_Owned</t>
  </si>
  <si>
    <t>Dishes_Avg_value</t>
  </si>
  <si>
    <t>Dishes_Own_Women</t>
  </si>
  <si>
    <t>Dishes_Own_Men</t>
  </si>
  <si>
    <t>Dishes_Asset_Value</t>
  </si>
  <si>
    <t>Dishes_Women_Value</t>
  </si>
  <si>
    <t>Dishes_Men_Value</t>
  </si>
  <si>
    <t>Jewel_Owned</t>
  </si>
  <si>
    <t>Number_Jewel_Owned</t>
  </si>
  <si>
    <t>Jewel_Avg_value</t>
  </si>
  <si>
    <t>Jewel_Own_Women</t>
  </si>
  <si>
    <t>Jewel_Own_Men</t>
  </si>
  <si>
    <t>Jewel_Asset_Value</t>
  </si>
  <si>
    <t>Jewel_Women_Value</t>
  </si>
  <si>
    <t>Jewel_Men_Value</t>
  </si>
  <si>
    <t>Moto_Owned</t>
  </si>
  <si>
    <t>Number_Motos_Owned</t>
  </si>
  <si>
    <t>Moto_Avg_value</t>
  </si>
  <si>
    <t>Moto_Own_Women</t>
  </si>
  <si>
    <t>Moto_Own_Men</t>
  </si>
  <si>
    <t>Moto_Asset_Value</t>
  </si>
  <si>
    <t>Moto_Women_Value</t>
  </si>
  <si>
    <t>Moto_Men_Value</t>
  </si>
  <si>
    <t>Radio_Owned</t>
  </si>
  <si>
    <t>Number_Radios_Owned</t>
  </si>
  <si>
    <t>Radio_Avg_value</t>
  </si>
  <si>
    <t>Radio_Own_Women</t>
  </si>
  <si>
    <t>Radio_Own_Men</t>
  </si>
  <si>
    <t>Radio_Asset_Value</t>
  </si>
  <si>
    <t>Radio_Women_Value</t>
  </si>
  <si>
    <t>Radio_Men_Value</t>
  </si>
  <si>
    <t>Total_Household_Asset_Value</t>
  </si>
  <si>
    <t>Women_Owned_HHAsset_Value</t>
  </si>
  <si>
    <t>Male_Owned_HHAsset_Value</t>
  </si>
  <si>
    <t>Hoe_Own</t>
  </si>
  <si>
    <t>Hoe_Number_Own</t>
  </si>
  <si>
    <t>Hoe_Avg_Value</t>
  </si>
  <si>
    <t>Women_Hoe_Own</t>
  </si>
  <si>
    <t>Men_Hoe_Own</t>
  </si>
  <si>
    <t>Hoe_Total_Value</t>
  </si>
  <si>
    <t>Male_Hoe_Value</t>
  </si>
  <si>
    <t>Women_Hoe_Value</t>
  </si>
  <si>
    <t>Shovel_Own</t>
  </si>
  <si>
    <t>Shovel_Number_Own</t>
  </si>
  <si>
    <t>Shovel_Avg_Value</t>
  </si>
  <si>
    <t>Women_Shovel_Own</t>
  </si>
  <si>
    <t>Men_Shovel_Own</t>
  </si>
  <si>
    <t>Shovel_Total_Value</t>
  </si>
  <si>
    <t>Male_Shovel_Value</t>
  </si>
  <si>
    <t>Women_Shovel_Value</t>
  </si>
  <si>
    <t>Total_Production_Asset_Value</t>
  </si>
  <si>
    <t>Male__Production_Value</t>
  </si>
  <si>
    <t>Women__Production_Value</t>
  </si>
  <si>
    <t>HouseHold_AnimalUnits</t>
  </si>
  <si>
    <t>Male_Owned_Livestock</t>
  </si>
  <si>
    <t>Female_Owned_Livestock</t>
  </si>
  <si>
    <t>Respondent</t>
  </si>
  <si>
    <t/>
  </si>
  <si>
    <t>Household_composition</t>
  </si>
  <si>
    <t>number of ICV plots male managed</t>
  </si>
  <si>
    <t>number of ICV plots female managed</t>
  </si>
  <si>
    <t>number of ICV plots joint managed</t>
  </si>
  <si>
    <t>number of nonICV plots male managed</t>
  </si>
  <si>
    <t>number of nonICV plots female managed</t>
  </si>
  <si>
    <t>number of nonICV plots joint managed</t>
  </si>
  <si>
    <t>number of ICV plots of house</t>
  </si>
  <si>
    <t>number of nonICV plots of house</t>
  </si>
  <si>
    <t>number of cassava plots</t>
  </si>
  <si>
    <t>total land, square meters, of ICV plots</t>
  </si>
  <si>
    <t>total land, square meters, of nonICV plots</t>
  </si>
  <si>
    <t>total land, square meters, of male managed ICV plots</t>
  </si>
  <si>
    <t>total land, square meters, of female managed ICV plots</t>
  </si>
  <si>
    <t>total land, square meters, of joint managed ICV plots</t>
  </si>
  <si>
    <t>total land, square meters, of male managed nonICV plots</t>
  </si>
  <si>
    <t>total land, square meters, of female managed nonICV plots</t>
  </si>
  <si>
    <t>total land, square meters, of joint managed nonICV plots</t>
  </si>
  <si>
    <t>total land, square meters, of all cassava plots</t>
  </si>
  <si>
    <t>avg size of cassava plot</t>
  </si>
  <si>
    <t>has respondent ever personally planted an ICV</t>
  </si>
  <si>
    <t>J01_Does your household apply fertilizer to cassava?</t>
  </si>
  <si>
    <t>J02_ percentage of household income comes from cassava?</t>
  </si>
  <si>
    <t>J03_What percentage of women income comes from cassava in your household?</t>
  </si>
  <si>
    <t>J04_What percentage of household food comes from cassava?</t>
  </si>
  <si>
    <t>J05_In general, what is the percent of cassava used for sales in the household?_</t>
  </si>
  <si>
    <t>J05_In general, what is the percent of cassava used for consumption in the house</t>
  </si>
  <si>
    <t>J05_In general, what is the percent of cassava used for others in the household?</t>
  </si>
  <si>
    <t>household member in coop group</t>
  </si>
  <si>
    <t>men only membership of a coop</t>
  </si>
  <si>
    <t>women only membership of a coop</t>
  </si>
  <si>
    <t>both men/women members of a coop</t>
  </si>
  <si>
    <t>only male access to credit</t>
  </si>
  <si>
    <t>only female access to credit</t>
  </si>
  <si>
    <t>joint male/female access to credit</t>
  </si>
  <si>
    <t>general household credit access</t>
  </si>
  <si>
    <t>household member in credit group</t>
  </si>
  <si>
    <t>male only membership to credit group</t>
  </si>
  <si>
    <t>women only membership to credit group</t>
  </si>
  <si>
    <t>joint men/women membership to credit group</t>
  </si>
  <si>
    <t>general household extension access</t>
  </si>
  <si>
    <t>only men have access to extension</t>
  </si>
  <si>
    <t>only women have access to extension</t>
  </si>
  <si>
    <t>both men/women have access to extension</t>
  </si>
  <si>
    <t>Fryer household access, yes/no</t>
  </si>
  <si>
    <t>Female only Fryer access</t>
  </si>
  <si>
    <t>Male only Fryer access</t>
  </si>
  <si>
    <t>joint Fryer access</t>
  </si>
  <si>
    <t>Grater household access, yes/no</t>
  </si>
  <si>
    <t>Female only Grater access</t>
  </si>
  <si>
    <t>Male only Grater access</t>
  </si>
  <si>
    <t>joint Grater access</t>
  </si>
  <si>
    <t>Presser household access, yes/no</t>
  </si>
  <si>
    <t>Female only Presser access</t>
  </si>
  <si>
    <t>Male only Presser access</t>
  </si>
  <si>
    <t>joint Presser access</t>
  </si>
  <si>
    <t>sieve household access, yes/no</t>
  </si>
  <si>
    <t>Female only sieve access</t>
  </si>
  <si>
    <t>Male only sieve access</t>
  </si>
  <si>
    <t>joint sieve access</t>
  </si>
  <si>
    <t>total number of male only accessible processing assets</t>
  </si>
  <si>
    <t>total number of female only accessible processing assest</t>
  </si>
  <si>
    <t>total number of joint accessible processing assets</t>
  </si>
  <si>
    <t>bikess owned, yes/no</t>
  </si>
  <si>
    <t>number of bikes in household</t>
  </si>
  <si>
    <t>value in Naira, 1 bike</t>
  </si>
  <si>
    <t>number of bikes owned by women</t>
  </si>
  <si>
    <t>number of bikes owned by men</t>
  </si>
  <si>
    <t>total Naira value of all bikes in house</t>
  </si>
  <si>
    <t>Naira value of bikes owned by women</t>
  </si>
  <si>
    <t>Naira value of bikes owned by men</t>
  </si>
  <si>
    <t>cellphone owned, yes/no</t>
  </si>
  <si>
    <t>number of cellphone in household</t>
  </si>
  <si>
    <t>value in Naira, 1 cellphone</t>
  </si>
  <si>
    <t>number of cellphone owned by women</t>
  </si>
  <si>
    <t>number of cellphone owned by men</t>
  </si>
  <si>
    <t>total Naira value of all cellphone in house</t>
  </si>
  <si>
    <t>Naira value of cellphone owned by women</t>
  </si>
  <si>
    <t>Naira value of cellphone owned by men</t>
  </si>
  <si>
    <t>Dishes owned, yes/no</t>
  </si>
  <si>
    <t>number of Dishes in household</t>
  </si>
  <si>
    <t>value in Naira, 1 Dishes</t>
  </si>
  <si>
    <t>number of Dishes owned by women</t>
  </si>
  <si>
    <t>number of Dishes owned by men</t>
  </si>
  <si>
    <t>total Naira value of all Dishes in house</t>
  </si>
  <si>
    <t>Naira value of Dishes owned by women</t>
  </si>
  <si>
    <t>Naira value of Dishes owned by men</t>
  </si>
  <si>
    <t>jewellery owned, yes/no</t>
  </si>
  <si>
    <t>number of jewellery in household</t>
  </si>
  <si>
    <t>value in Naira, 1 jewellery</t>
  </si>
  <si>
    <t>number of jewellery owned by women</t>
  </si>
  <si>
    <t>number of jewellery owned by men</t>
  </si>
  <si>
    <t>total Naira value of all jewellery in house</t>
  </si>
  <si>
    <t>Naira value of jewellery owned by women</t>
  </si>
  <si>
    <t>Naira value of jewellery owned by men</t>
  </si>
  <si>
    <t>motorcycle owned, yes/no</t>
  </si>
  <si>
    <t>number of motos in household</t>
  </si>
  <si>
    <t>value in Naira, 1 moto</t>
  </si>
  <si>
    <t>number of motos owned by women</t>
  </si>
  <si>
    <t>number of motos owned by men</t>
  </si>
  <si>
    <t>total Naira value of all motos in house</t>
  </si>
  <si>
    <t>Naira value of motos owned by women</t>
  </si>
  <si>
    <t>Naira value of motos owned by men</t>
  </si>
  <si>
    <t>radios owned, yes/no</t>
  </si>
  <si>
    <t>number of radios in household</t>
  </si>
  <si>
    <t>value in Naira, 1 radio</t>
  </si>
  <si>
    <t>number of radios owned by women</t>
  </si>
  <si>
    <t>number of radios owned by men</t>
  </si>
  <si>
    <t>total Naira value of all radios in house</t>
  </si>
  <si>
    <t>Naira value of radios owned by women</t>
  </si>
  <si>
    <t>Naira value of radios owned by men</t>
  </si>
  <si>
    <t>total household value of household assets</t>
  </si>
  <si>
    <t>total houshold asset value owned by women</t>
  </si>
  <si>
    <t>total household asset value owned by men</t>
  </si>
  <si>
    <t>Hoe owned by household, yes/no</t>
  </si>
  <si>
    <t>number of Hoe owned</t>
  </si>
  <si>
    <t>avg value of 1 Hoe</t>
  </si>
  <si>
    <t>number of hoes owned by women</t>
  </si>
  <si>
    <t>number of hoes owned by men</t>
  </si>
  <si>
    <t>total hoe value</t>
  </si>
  <si>
    <t>male owned hoe value</t>
  </si>
  <si>
    <t>women owned hoe value</t>
  </si>
  <si>
    <t>shovel/spade owned by household, yes/no</t>
  </si>
  <si>
    <t>number of shovel/spades owned</t>
  </si>
  <si>
    <t>avg value of 1 shovel/spade</t>
  </si>
  <si>
    <t>number of shovel/spades women own</t>
  </si>
  <si>
    <t>number of shovel/spade men own</t>
  </si>
  <si>
    <t>total value of shovels owned</t>
  </si>
  <si>
    <t>value of male owned shovels</t>
  </si>
  <si>
    <t>value of female owned shovels</t>
  </si>
  <si>
    <t>total production asset value owned by house</t>
  </si>
  <si>
    <t>total value of all male owned production assets</t>
  </si>
  <si>
    <t>total value of all female owned production assets</t>
  </si>
  <si>
    <t>total animal units owned by household</t>
  </si>
  <si>
    <t>total animal units owned by male</t>
  </si>
  <si>
    <t>total animal units owned by female</t>
  </si>
  <si>
    <t>Variable Name</t>
  </si>
  <si>
    <t>Description</t>
  </si>
  <si>
    <t>Variable</t>
  </si>
  <si>
    <t>Across Populations</t>
  </si>
  <si>
    <t>Intrahousehold Differences</t>
  </si>
  <si>
    <t>Husband</t>
  </si>
  <si>
    <t>Wife</t>
  </si>
  <si>
    <t>ttest</t>
  </si>
  <si>
    <t>Difference</t>
  </si>
  <si>
    <t>Mean</t>
  </si>
  <si>
    <t>Median</t>
  </si>
  <si>
    <t>Mode</t>
  </si>
  <si>
    <t>Min</t>
  </si>
  <si>
    <t>Max</t>
  </si>
  <si>
    <t>Total House Assets Reported In Household (Naira Value)</t>
  </si>
  <si>
    <t>Total</t>
  </si>
  <si>
    <t>(G05b_Number*G06_Value_Naira)</t>
  </si>
  <si>
    <t>Male Owned</t>
  </si>
  <si>
    <t>(G08_men_portn*G06_Value_Naira)</t>
  </si>
  <si>
    <t>Female Owned</t>
  </si>
  <si>
    <t>(G07_women_portn*G06_Value_Naira)</t>
  </si>
  <si>
    <t>Jewllery</t>
  </si>
  <si>
    <t>Naira Value</t>
  </si>
  <si>
    <t>Avg Unit Value</t>
  </si>
  <si>
    <t>G06_Value_Naira</t>
  </si>
  <si>
    <t>Unit Counts</t>
  </si>
  <si>
    <t>G05b_Number</t>
  </si>
  <si>
    <t>G08_men_portn</t>
  </si>
  <si>
    <t xml:space="preserve">G07_women_portn </t>
  </si>
  <si>
    <t>Dishes</t>
  </si>
  <si>
    <t>Bike</t>
  </si>
  <si>
    <t>Motorcycle</t>
  </si>
  <si>
    <t>Phone</t>
  </si>
  <si>
    <t>Household</t>
  </si>
  <si>
    <t>Men owned</t>
  </si>
  <si>
    <t>Women owned</t>
  </si>
  <si>
    <t>Radio</t>
  </si>
  <si>
    <t>Total Production Assets Reported In Household (Naira Value)</t>
  </si>
  <si>
    <t xml:space="preserve">(G08_men_portn*G06_Value_Naira) </t>
  </si>
  <si>
    <t>Hoe</t>
  </si>
  <si>
    <t xml:space="preserve">G08_men_portn </t>
  </si>
  <si>
    <t>G07_women_portn</t>
  </si>
  <si>
    <t>Shovel</t>
  </si>
  <si>
    <t>Total Livestock Units</t>
  </si>
  <si>
    <t>(G01b_TNumber_owned*Animal_Unit)</t>
  </si>
  <si>
    <t>(G02_Num_own_male*Animal_Unit)</t>
  </si>
  <si>
    <t>(G03_Num_own_female*Animal_Unit)</t>
  </si>
  <si>
    <t>4.003***</t>
  </si>
  <si>
    <t>3.978***</t>
  </si>
  <si>
    <t>-2.166**</t>
  </si>
  <si>
    <t>-2.415**</t>
  </si>
  <si>
    <t>-2.938***</t>
  </si>
  <si>
    <t>-4.019***</t>
  </si>
  <si>
    <t>-3.573***</t>
  </si>
  <si>
    <t>4.570***</t>
  </si>
  <si>
    <t>-3.956***</t>
  </si>
  <si>
    <t>1.989**</t>
  </si>
  <si>
    <t>1.983**</t>
  </si>
  <si>
    <t>1.847*</t>
  </si>
  <si>
    <t>2.157**</t>
  </si>
  <si>
    <t>-0.0409</t>
  </si>
  <si>
    <t>-0.251</t>
  </si>
  <si>
    <t>-1.109</t>
  </si>
  <si>
    <t>-0.205</t>
  </si>
  <si>
    <t>-0.276</t>
  </si>
  <si>
    <t>-0.865</t>
  </si>
  <si>
    <t>-0.953</t>
  </si>
  <si>
    <t>2.075**</t>
  </si>
  <si>
    <t>-0.130</t>
  </si>
  <si>
    <t>-0.758</t>
  </si>
  <si>
    <t>2.891***</t>
  </si>
  <si>
    <t>4.232***</t>
  </si>
  <si>
    <t>-1.544</t>
  </si>
  <si>
    <t>3.545***</t>
  </si>
  <si>
    <t>2.821***</t>
  </si>
  <si>
    <t>-2.083**</t>
  </si>
  <si>
    <t>-0.810</t>
  </si>
  <si>
    <t>-0.975</t>
  </si>
  <si>
    <t>-0.871</t>
  </si>
  <si>
    <t>-0.506</t>
  </si>
  <si>
    <t>-0.480</t>
  </si>
  <si>
    <t>-0.144</t>
  </si>
  <si>
    <t>-0.998</t>
  </si>
  <si>
    <t>Individual level</t>
  </si>
  <si>
    <t>E02_Ever_planted</t>
  </si>
  <si>
    <t>Male Managed</t>
  </si>
  <si>
    <t>Female Managed</t>
  </si>
  <si>
    <t>D08_Plot_manager</t>
  </si>
  <si>
    <t>Joint Managed</t>
  </si>
  <si>
    <t>Household Level - All plots</t>
  </si>
  <si>
    <t>D06(B-D)_1_loc_imp</t>
  </si>
  <si>
    <t>Household Level - ICV</t>
  </si>
  <si>
    <t>Household Level - non ICV</t>
  </si>
  <si>
    <t>Size of plots (meters^2)</t>
  </si>
  <si>
    <t>J13_Plotsize_metersqure_GPS</t>
  </si>
  <si>
    <t>Jointly Managed</t>
  </si>
  <si>
    <t>Totals</t>
  </si>
  <si>
    <t>Ever Personally Planted ICV</t>
  </si>
  <si>
    <t>-0.943</t>
  </si>
  <si>
    <t>5.017***</t>
  </si>
  <si>
    <t>-4.240***</t>
  </si>
  <si>
    <t>2.606**</t>
  </si>
  <si>
    <t>6.185***</t>
  </si>
  <si>
    <t>-3.617***</t>
  </si>
  <si>
    <t>-1.431</t>
  </si>
  <si>
    <t>-2.180**</t>
  </si>
  <si>
    <t>-1.778*</t>
  </si>
  <si>
    <t>-2.279**</t>
  </si>
  <si>
    <t>Total land of ICV plots (meters^2)</t>
  </si>
  <si>
    <t>Total land of NonICV plots (meters^2)</t>
  </si>
  <si>
    <t>Household Level - Total land of ICV plots (meters^2)</t>
  </si>
  <si>
    <t>Household Level - Total land of NonICV plots (meters^2)</t>
  </si>
  <si>
    <t>4.355***</t>
  </si>
  <si>
    <t>-2.097**</t>
  </si>
  <si>
    <t>2.119**</t>
  </si>
  <si>
    <t>-1.799*</t>
  </si>
  <si>
    <t>0.212</t>
  </si>
  <si>
    <t>Household Level - ICV - Number of</t>
  </si>
  <si>
    <t>Household Level - non ICV - Number of</t>
  </si>
  <si>
    <t>Household Level - All plots - Number of</t>
  </si>
  <si>
    <t>Household Level - Total land - (meters^2)</t>
  </si>
  <si>
    <t>4.516***</t>
  </si>
  <si>
    <t>4.610***</t>
  </si>
  <si>
    <t>F01_Access</t>
  </si>
  <si>
    <t>F02_Male_Female</t>
  </si>
  <si>
    <t>Joint Access</t>
  </si>
  <si>
    <t>(generated) Both</t>
  </si>
  <si>
    <t>Sieve</t>
  </si>
  <si>
    <t>General Access</t>
  </si>
  <si>
    <t>Fryer</t>
  </si>
  <si>
    <t>Presser</t>
  </si>
  <si>
    <t>Grater</t>
  </si>
  <si>
    <t>Male Only Access</t>
  </si>
  <si>
    <t>Female Only Access</t>
  </si>
  <si>
    <t>1.985**</t>
  </si>
  <si>
    <t>-3.218***</t>
  </si>
  <si>
    <t>5.761***</t>
  </si>
  <si>
    <t>2.691***</t>
  </si>
  <si>
    <t>-5.107***</t>
  </si>
  <si>
    <t>7.225***</t>
  </si>
  <si>
    <t>3.450***</t>
  </si>
  <si>
    <t>-4.829***</t>
  </si>
  <si>
    <t>5.992***</t>
  </si>
  <si>
    <t>-1.233</t>
  </si>
  <si>
    <t>-2.465**</t>
  </si>
  <si>
    <t>4.563***</t>
  </si>
  <si>
    <t>-0.622</t>
  </si>
  <si>
    <t>-4.517***</t>
  </si>
  <si>
    <t>7.1677***</t>
  </si>
  <si>
    <t>Credit Group</t>
  </si>
  <si>
    <t>General Household Membership</t>
  </si>
  <si>
    <t>H01_Ass_member</t>
  </si>
  <si>
    <t>Male only membership</t>
  </si>
  <si>
    <t>H02_male_member_hhd</t>
  </si>
  <si>
    <t>Female only membership</t>
  </si>
  <si>
    <t>H02_female_member_ass</t>
  </si>
  <si>
    <t>Both membership</t>
  </si>
  <si>
    <t>Coop</t>
  </si>
  <si>
    <t>Extension Agent Access</t>
  </si>
  <si>
    <t>General Household Access</t>
  </si>
  <si>
    <t>H03_0_Ecntact</t>
  </si>
  <si>
    <t>3.369***</t>
  </si>
  <si>
    <t>Male only access</t>
  </si>
  <si>
    <t>H03_3_MaleContact_No</t>
  </si>
  <si>
    <t>3.805***</t>
  </si>
  <si>
    <t>Female only access</t>
  </si>
  <si>
    <t>H03_2_FemaleContact_No</t>
  </si>
  <si>
    <t>Both Access</t>
  </si>
  <si>
    <t>(Generated) Both</t>
  </si>
  <si>
    <t>Access to Credit</t>
  </si>
  <si>
    <t>H03_4_credit_access</t>
  </si>
  <si>
    <t>(H03_0_Ecntact1*H03_4_credit_access)</t>
  </si>
  <si>
    <t>-1.406</t>
  </si>
  <si>
    <t>-1.659*</t>
  </si>
  <si>
    <t>-0.066</t>
  </si>
  <si>
    <t>-3.658***</t>
  </si>
  <si>
    <t>-2.210**</t>
  </si>
  <si>
    <t>-3.599***</t>
  </si>
  <si>
    <t>6.161***</t>
  </si>
  <si>
    <t>5.205***</t>
  </si>
  <si>
    <t>-0.731</t>
  </si>
  <si>
    <t>4.838***</t>
  </si>
  <si>
    <t>Cassava - fertilizer</t>
  </si>
  <si>
    <t>J01_hhd_apply_fert </t>
  </si>
  <si>
    <t>Cassava - income</t>
  </si>
  <si>
    <t>J02_per_hh_inc_cassav </t>
  </si>
  <si>
    <t>Cassava - women’s income</t>
  </si>
  <si>
    <t>J03_women_incm </t>
  </si>
  <si>
    <t>Cassava - hh food</t>
  </si>
  <si>
    <t>J04_hhd_food_incm </t>
  </si>
  <si>
    <t>Cassava - sold</t>
  </si>
  <si>
    <t>J05_sales_perc </t>
  </si>
  <si>
    <t>Cassava - consumed</t>
  </si>
  <si>
    <t>J05_consumption_perc </t>
  </si>
  <si>
    <t>Cassava - other</t>
  </si>
  <si>
    <t>J05_Others_perc </t>
  </si>
  <si>
    <t>-0.790</t>
  </si>
  <si>
    <t>-1.869*</t>
  </si>
  <si>
    <t>-1.280</t>
  </si>
  <si>
    <t>-0.410</t>
  </si>
  <si>
    <t>-1.793*</t>
  </si>
  <si>
    <t>Module</t>
  </si>
  <si>
    <t>Var level</t>
  </si>
  <si>
    <t>Survey code(s)</t>
  </si>
  <si>
    <t>Label</t>
  </si>
  <si>
    <t>Module C: Arable Land Holding </t>
  </si>
  <si>
    <t>Land holdings</t>
  </si>
  <si>
    <t>HH</t>
  </si>
  <si>
    <t>C01_Land_holdng;</t>
  </si>
  <si>
    <t>Land holding;</t>
  </si>
  <si>
    <t>Lunit</t>
  </si>
  <si>
    <t>Unit of land </t>
  </si>
  <si>
    <t>Land under cassava cultivation</t>
  </si>
  <si>
    <t>C02_Land_cassav_cultivatn;</t>
  </si>
  <si>
    <t>Land under cassava cultivation;</t>
  </si>
  <si>
    <t>CassavaLunit </t>
  </si>
  <si>
    <t>Unit of cassava land </t>
  </si>
  <si>
    <t>Module D: Cassava Plots</t>
  </si>
  <si>
    <t>Plot Manager (sex)</t>
  </si>
  <si>
    <t>IP</t>
  </si>
  <si>
    <t>Plot manager </t>
  </si>
  <si>
    <t>Adopted improved cassava?</t>
  </si>
  <si>
    <r>
      <t xml:space="preserve">If answered </t>
    </r>
    <r>
      <rPr>
        <i/>
        <sz val="11"/>
        <color rgb="FF000000"/>
        <rFont val="Arial"/>
        <family val="2"/>
      </rPr>
      <t xml:space="preserve">‘improved’ </t>
    </r>
    <r>
      <rPr>
        <sz val="11"/>
        <color rgb="FF000000"/>
        <rFont val="Arial"/>
        <family val="2"/>
      </rPr>
      <t>to </t>
    </r>
  </si>
  <si>
    <t>Is it local or improved? </t>
  </si>
  <si>
    <t>“D06_1_B_loc_imp”; “D06_1_C_loc_imp”; “D06_1_D_loc_imp”; or, “D06_1_E_loc_imp”</t>
  </si>
  <si>
    <t>Module F: Access to processing machines</t>
  </si>
  <si>
    <t>Processing machine - all</t>
  </si>
  <si>
    <t>Does any one in your household have access to the following by any means? </t>
  </si>
  <si>
    <t>Processing machine - sex</t>
  </si>
  <si>
    <t>OH</t>
  </si>
  <si>
    <t>F02_male_female </t>
  </si>
  <si>
    <t>Indicate if the one with access is male or female </t>
  </si>
  <si>
    <t>F04_ProcessM1 </t>
  </si>
  <si>
    <t>Does any one in your household has access to the following by any means? </t>
  </si>
  <si>
    <t>F05_sex </t>
  </si>
  <si>
    <t>Module G1: Household Livestock Assets</t>
  </si>
  <si>
    <t>Livestock owned - all</t>
  </si>
  <si>
    <t>G01b_TNumber_owned </t>
  </si>
  <si>
    <t>Total number owned by household </t>
  </si>
  <si>
    <t>Livestock owned - male</t>
  </si>
  <si>
    <t>OH (M)</t>
  </si>
  <si>
    <t>G02_Num_own_male </t>
  </si>
  <si>
    <t>Number of livestock owned by male </t>
  </si>
  <si>
    <t>Livestock owned - female</t>
  </si>
  <si>
    <t>OH (F)</t>
  </si>
  <si>
    <t>G03_Num_own_female </t>
  </si>
  <si>
    <t>Number of livestock owned by female </t>
  </si>
  <si>
    <t>Module G3: Other Household Assets (household): Radio, cell phone, bicycle, motorbike</t>
  </si>
  <si>
    <t>Household Assets</t>
  </si>
  <si>
    <t>Household_assets </t>
  </si>
  <si>
    <t>Household Assets </t>
  </si>
  <si>
    <t>Household assets - Owned</t>
  </si>
  <si>
    <t>G05a_hhd_asset_own </t>
  </si>
  <si>
    <t>Household assets - Number</t>
  </si>
  <si>
    <t>G05b_TNumber </t>
  </si>
  <si>
    <t>Number of asset </t>
  </si>
  <si>
    <t>Household assets - value</t>
  </si>
  <si>
    <t>G06_UnitValue_Naira </t>
  </si>
  <si>
    <t>Estimated unit value in Naira if sold, if more than one item reported, record average </t>
  </si>
  <si>
    <t>Household assets - female</t>
  </si>
  <si>
    <t>G07_women_portion </t>
  </si>
  <si>
    <t>How many of the assets are owned by women? </t>
  </si>
  <si>
    <t>Household assets - male</t>
  </si>
  <si>
    <t>G08_men_protion </t>
  </si>
  <si>
    <t>How many of the assets are owned by men? </t>
  </si>
  <si>
    <t>Module G3: Other Household Assets (Production</t>
  </si>
  <si>
    <t>Module H: Farmers and Social Institutions; Extension; Credit</t>
  </si>
  <si>
    <t>Coop Member - all</t>
  </si>
  <si>
    <t>H01_Ass_member </t>
  </si>
  <si>
    <t>Is anybody in your household a member of an association? </t>
  </si>
  <si>
    <t>Coop Member - female</t>
  </si>
  <si>
    <t>H02_female_member_ass </t>
  </si>
  <si>
    <t>Please indicate responses from female members of the household </t>
  </si>
  <si>
    <t>Coop Member - male</t>
  </si>
  <si>
    <t>H02_male_member_hhd </t>
  </si>
  <si>
    <t>Please indicate responses from male members of the household </t>
  </si>
  <si>
    <t>Extension - all</t>
  </si>
  <si>
    <t>H03_1_time_mem </t>
  </si>
  <si>
    <t>How many times did your household have contact with an EA this year? </t>
  </si>
  <si>
    <t>Extension - Female</t>
  </si>
  <si>
    <t>H03_2_FemaleContact_No </t>
  </si>
  <si>
    <t>What is the number of times that female household had contact with EA this year? </t>
  </si>
  <si>
    <t>Extension - Male</t>
  </si>
  <si>
    <t>H03_3_MaleContact_No </t>
  </si>
  <si>
    <t>What is the number of times that male household had contact with EA this year? </t>
  </si>
  <si>
    <t>Credit - access</t>
  </si>
  <si>
    <t>H03_4_credit_access </t>
  </si>
  <si>
    <t>Do you have access to credit in your village? </t>
  </si>
  <si>
    <t>Credit - loan received</t>
  </si>
  <si>
    <t>H03_6_ever_gtn_loan </t>
  </si>
  <si>
    <t>Have you ever gotten loan for cassava production? </t>
  </si>
  <si>
    <t>Credit - cassava</t>
  </si>
  <si>
    <t>H03_7_loan_buy_input_cassv </t>
  </si>
  <si>
    <t>Have you ever taken loan to buy inputs for cassava production last cropping season? </t>
  </si>
  <si>
    <t>Credit - amount</t>
  </si>
  <si>
    <t>H03_8_Amt_loan_colc_lt_seasn </t>
  </si>
  <si>
    <t>How much loan did you take last cropping season? </t>
  </si>
  <si>
    <t>Module J: Cassava Production</t>
  </si>
  <si>
    <t>Does your household apply fertilizer to cassava? </t>
  </si>
  <si>
    <t>Percentage of household income comes from cassava? </t>
  </si>
  <si>
    <t>What percentage of women income comes from cassava in your household? </t>
  </si>
  <si>
    <t>What percentage of household food comes from cassava? </t>
  </si>
  <si>
    <t>Percentage of cassava sold in the household </t>
  </si>
  <si>
    <t>Percent of cassavaconsumed in the household </t>
  </si>
  <si>
    <t>Percent of cassava used for other things in the household </t>
  </si>
  <si>
    <t>Plot Size</t>
  </si>
  <si>
    <t>J13_Plotsize_metersqure_GPS </t>
  </si>
  <si>
    <t>Plot size meter square –measure using GPS </t>
  </si>
  <si>
    <t>Modeule E:</t>
  </si>
  <si>
    <t>Cassava_variety_All regions</t>
  </si>
  <si>
    <t>Individual</t>
  </si>
  <si>
    <t>Have you ever planted it?</t>
  </si>
  <si>
    <t>Indicates the regional zone of the respondent</t>
  </si>
  <si>
    <t>Indicates the state of the respondent</t>
  </si>
  <si>
    <t>Indicates locality of respondent</t>
  </si>
  <si>
    <t>Indicates Enumerator</t>
  </si>
  <si>
    <t>Indicates is husband or wife is the respondent</t>
  </si>
  <si>
    <t>ICV</t>
  </si>
  <si>
    <t>Total_Physical_Assets_Naira</t>
  </si>
  <si>
    <t>Total_Processing_Asset</t>
  </si>
  <si>
    <t>Value</t>
  </si>
  <si>
    <t>Original (O) or generated(G)</t>
  </si>
  <si>
    <t>Categorical</t>
  </si>
  <si>
    <t>O</t>
  </si>
  <si>
    <t>Household_composition_Spouse_All Regions</t>
  </si>
  <si>
    <t xml:space="preserve">Household_composition_All regions </t>
  </si>
  <si>
    <t xml:space="preserve">Individual Household ID </t>
  </si>
  <si>
    <t>Number of kids in the house &lt; age 12</t>
  </si>
  <si>
    <t>Continous</t>
  </si>
  <si>
    <t>G</t>
  </si>
  <si>
    <t>New variable generated indicating household member &lt; 12 using A03_Age, then collapse (count)  variable for household</t>
  </si>
  <si>
    <t>Age of respondent</t>
  </si>
  <si>
    <t>Number of years of education of the respondent</t>
  </si>
  <si>
    <t>Relationship of the repsondent to the head of household</t>
  </si>
  <si>
    <t>Main occupaton</t>
  </si>
  <si>
    <t>Do they have a secondary occupation</t>
  </si>
  <si>
    <t>Binary</t>
  </si>
  <si>
    <t>What is their secondary occupation</t>
  </si>
  <si>
    <t>Percentage of contribution to family labour for farm work</t>
  </si>
  <si>
    <t>Number of men in the house &gt; age 12</t>
  </si>
  <si>
    <t>New variable generated indicating household member &gt; 12 using A03_Age and A02_Sex, then collapse (count) new variable for men in the household</t>
  </si>
  <si>
    <t>Number of women in house &gt; age 12</t>
  </si>
  <si>
    <t>New variable generated indicating household member &gt; 12 using A03_Age and A02_Sex, then collapse (count) new variable for women in the household</t>
  </si>
  <si>
    <t>Original File Name - the unedited one (CMS)</t>
  </si>
  <si>
    <t>Original File Name - the unedited one (Spouse)</t>
  </si>
  <si>
    <t xml:space="preserve">Total female managed plots for household </t>
  </si>
  <si>
    <t xml:space="preserve">Total joint managed plots for household </t>
  </si>
  <si>
    <t xml:space="preserve">Total male managed plots for household </t>
  </si>
  <si>
    <t>Cassava_Plot_All regions _dr tunji_Nike_var_coded</t>
  </si>
  <si>
    <t>Cassava_Plot_Spouse_Funke_All Regions_Funke</t>
  </si>
  <si>
    <t>If (D06_1_loc_imp + D06_1_B_loc_imp + D06_1_C_loc_imp + D06_1_D_loc_imp + D06_1_E_loc_imp) &gt; 0 then ICV=1</t>
  </si>
  <si>
    <t>If (D06_1_loc_imp + D06_1_B_loc_imp + D06_1_C_loc_imp + D06_1_D_loc_imp + D06_1_E_loc_imp) &gt; 0 then ICV=1, interact with D08_Plot_Manager, collapse to count</t>
  </si>
  <si>
    <t>If ICV==0 than NonICV=1, interact with D08_Plot_Manager, collapse to count</t>
  </si>
  <si>
    <t>Sum (Male_ICV_Managed, Female_ICV_Managed, Joint_ICV_Managed)</t>
  </si>
  <si>
    <t>Sum (Male_NonICV_Managed, Female_NonICV_Managed, Joint_NonICV_Managed)</t>
  </si>
  <si>
    <t>Sum (House_ICV, NonICV)</t>
  </si>
  <si>
    <t>Cassava_variety_Spouse_All Regions</t>
  </si>
  <si>
    <t xml:space="preserve">J02_per_hh_inc_cassav, converted the categorical value to defined value </t>
  </si>
  <si>
    <t xml:space="preserve">J03_women_incm, converted the categorical value to defined value </t>
  </si>
  <si>
    <t xml:space="preserve">J04_hhd_food_incm, converted the categorical value to defined value </t>
  </si>
  <si>
    <t>Cassava_Traits Preference_All regions</t>
  </si>
  <si>
    <t>Cassava_production_Spouse_All Regions</t>
  </si>
  <si>
    <t>Cassava_variety_All Regions</t>
  </si>
  <si>
    <t>If Household_assets==17 then (Household_assets*G05a_hhd_asset_own*G05b_TNumber*G06_UnitValue_Naira)</t>
  </si>
  <si>
    <t>If Household_assets==17 then  (Household_assets*G05a_hhd_asset_own*G07_women_portion*G06_UnitValue_Naira)</t>
  </si>
  <si>
    <t>If Household_assets==17 then  (Household_assets*G05a_hhd_asset_own*G08_men_protion*G06_UnitValue_Naira)</t>
  </si>
  <si>
    <t>If Household_assets==17 then G06_UnitValue_Naira</t>
  </si>
  <si>
    <t>If Household_assets==17 then G07_women_portion</t>
  </si>
  <si>
    <t>If Household_assets==17 then G08_men_portion</t>
  </si>
  <si>
    <t>If Household_assets==17 then 1 if G05a_hhd_asset_own==1</t>
  </si>
  <si>
    <t>If Household_assets==17 then G05b_Tnumber</t>
  </si>
  <si>
    <t>Household_assets_All regions</t>
  </si>
  <si>
    <t>Household_assets_Spouse_All Regions</t>
  </si>
  <si>
    <t>If Household_assets==18 then (Household_assets*G05a_hhd_asset_own*G05b_TNumber*G06_UnitValue_Naira)</t>
  </si>
  <si>
    <t>If Household_assets==18 then  (Household_assets*G05a_hhd_asset_own*G07_women_portion*G06_UnitValue_Naira)</t>
  </si>
  <si>
    <t>If Household_assets==18 then  (Household_assets*G05a_hhd_asset_own*G08_men_protion*G06_UnitValue_Naira)</t>
  </si>
  <si>
    <t>If Household_assets==12 then (Household_assets*G05a_hhd_asset_own*G05b_TNumber*G06_UnitValue_Naira)</t>
  </si>
  <si>
    <t>If Household_assets==12 then  (Household_assets*G05a_hhd_asset_own*G07_women_portion*G06_UnitValue_Naira)</t>
  </si>
  <si>
    <t>If Household_assets==12 then  (Household_assets*G05a_hhd_asset_own*G08_men_protion*G06_UnitValue_Naira)</t>
  </si>
  <si>
    <t>If Household_assets==15 then (Household_assets*G05a_hhd_asset_own*G05b_TNumber*G06_UnitValue_Naira)</t>
  </si>
  <si>
    <t>If Household_assets==15 then  (Household_assets*G05a_hhd_asset_own*G07_women_portion*G06_UnitValue_Naira)</t>
  </si>
  <si>
    <t>If Household_assets==15 then  (Household_assets*G05a_hhd_asset_own*G08_men_protion*G06_UnitValue_Naira)</t>
  </si>
  <si>
    <t>If Household_assets==20 then (Household_assets*G05a_hhd_asset_own*G05b_TNumber*G06_UnitValue_Naira)</t>
  </si>
  <si>
    <t>If Household_assets==20 then  (Household_assets*G05a_hhd_asset_own*G07_women_portion*G06_UnitValue_Naira)</t>
  </si>
  <si>
    <t>If Household_assets==20 then  (Household_assets*G05a_hhd_asset_own*G08_men_protion*G06_UnitValue_Naira)</t>
  </si>
  <si>
    <t>If Household_assets==22 then (Household_assets*G05a_hhd_asset_own*G05b_TNumber*G06_UnitValue_Naira)</t>
  </si>
  <si>
    <t>If Household_assets==22 then  (Household_assets*G05a_hhd_asset_own*G07_women_portion*G06_UnitValue_Naira)</t>
  </si>
  <si>
    <t>If Household_assets==22 then  (Household_assets*G05a_hhd_asset_own*G08_men_protion*G06_UnitValue_Naira)</t>
  </si>
  <si>
    <t>collapse sum (Household_assets*G05a_hhd_asset_own*G05b_TNumber*G06_UnitValue_Naira)</t>
  </si>
  <si>
    <t>collapse sum (Household_assets*G08_men_protion*G05b_TNumber*G06_UnitValue_Naira)</t>
  </si>
  <si>
    <t>collapse sum (Household_assets*G07_women_portion*G05b_TNumber*G06_UnitValue_Naira)</t>
  </si>
  <si>
    <t>If Household_assets==15 then 1 if G05a_hhd_asset_own==1</t>
  </si>
  <si>
    <t>If Household_assets==15 then G05b_Tnumber</t>
  </si>
  <si>
    <t>If Household_assets==15 then G06_UnitValue_Naira</t>
  </si>
  <si>
    <t>If Household_assets==15 then G07_women_portion</t>
  </si>
  <si>
    <t>If Household_assets==15 then G08_men_portion</t>
  </si>
  <si>
    <t>If Household_assets==22 then 1 if G05a_hhd_asset_own==1</t>
  </si>
  <si>
    <t>If Household_assets==22 then G05b_Tnumber</t>
  </si>
  <si>
    <t>If Household_assets==22 then G06_UnitValue_Naira</t>
  </si>
  <si>
    <t>If Household_assets==22 then G07_women_portion</t>
  </si>
  <si>
    <t>If Household_assets==22 then G08_men_portion</t>
  </si>
  <si>
    <t>If Household_assets==20 then 1 if G05a_hhd_asset_own==1</t>
  </si>
  <si>
    <t>If Household_assets==20 then G05b_Tnumber</t>
  </si>
  <si>
    <t>If Household_assets==20 then G06_UnitValue_Naira</t>
  </si>
  <si>
    <t>If Household_assets==20 then G07_women_portion</t>
  </si>
  <si>
    <t>If Household_assets==20 then G08_men_portion</t>
  </si>
  <si>
    <t>If Household_assets==18 then 1 if G05a_hhd_asset_own==1</t>
  </si>
  <si>
    <t>If Household_assets==18 then G06_UnitValue_Naira</t>
  </si>
  <si>
    <t>If Household_assets==18 then G05b_Tnumber</t>
  </si>
  <si>
    <t>If Household_assets==18 then G07_women_portion</t>
  </si>
  <si>
    <t>If Household_assets==18 then G08_men_portion</t>
  </si>
  <si>
    <t>(F02_male_female=1 * F01_Access) =1 then male access</t>
  </si>
  <si>
    <t>(F02_male_female=2 * F01_Access) = 2 then female access</t>
  </si>
  <si>
    <t>(F02_male_female=1 * F01_Access) + (F02_male_female=2 * F01_Access) = 3 then joint access</t>
  </si>
  <si>
    <t>Processing_machines_Spouse_All Regions</t>
  </si>
  <si>
    <t>Processing_machines_All regions</t>
  </si>
  <si>
    <t>Sum of male access to individual processing machines</t>
  </si>
  <si>
    <t>Sum of female access to individual processing machines</t>
  </si>
  <si>
    <t>Sum of joint access to individual processing machines</t>
  </si>
  <si>
    <t>Indicates total value in Naira of production and household assets</t>
  </si>
  <si>
    <t>Indicates household's general access to processiong machines</t>
  </si>
  <si>
    <t>Add Total_Production_Asset_Value+Total_Household_Asset_Value</t>
  </si>
  <si>
    <t>Sum the access general access to fryer, sieve, presser, and grater</t>
  </si>
  <si>
    <t>Household_assets_All regions, Production_asset_All regions</t>
  </si>
  <si>
    <t>Production_asset_All regions</t>
  </si>
  <si>
    <t>Household_assets_Spouse_All Regions, Production_asset_Spouse_All Regions</t>
  </si>
  <si>
    <t>Production_asset_Spouse_All Regions</t>
  </si>
  <si>
    <t>Livestock_owned_All regions</t>
  </si>
  <si>
    <t>Livestock_owned_Spouse_All regions</t>
  </si>
  <si>
    <t>Livestock_owned, G01a_livestk_ownership, G01b_TNumber_owned, Animal unit conversions were developed using US Federal guidelines and Illionois extension</t>
  </si>
  <si>
    <t>Livestock_owned, G01a_livestk_ownership, G02_Num_own_male, Animal unit conversions were developed using US Federal guidelines and Illionois extension</t>
  </si>
  <si>
    <t>Livestock_owned, G01a_livestk_ownership, G03_Num_own_female, Animal unit conversions were developed using US Federal guidelines and Illionois extension</t>
  </si>
  <si>
    <t xml:space="preserve">If Association==5 and H01_ass_member==1 </t>
  </si>
  <si>
    <t>If Association==5 and H02_female_member==1 then H02_female_member-H01_male_member==-1, give value 1</t>
  </si>
  <si>
    <t>If Association==5 and H01_male_member==1, then H01_male_member-H02_female_member==-1, give value 1</t>
  </si>
  <si>
    <t>If Association==5 and H01_ass_member==1 then if H01_male_member+H02_female_member==2, give value 1</t>
  </si>
  <si>
    <t>Association_All regions</t>
  </si>
  <si>
    <t>Association_Spouse_All regions</t>
  </si>
  <si>
    <t>If H03_0_Ecntact==1 and/or H03_1_time_mem&gt;0 then ==1</t>
  </si>
  <si>
    <t>Institution_variable_All regions</t>
  </si>
  <si>
    <t>Institution_variable_Spouse_All Regions</t>
  </si>
  <si>
    <t>If (H03_3_MaleContact_No - H03_2_Femalecontact_No) == -1 then Female only access==1</t>
  </si>
  <si>
    <t>Interaction with H03_4_credit_access and Institution_Id</t>
  </si>
  <si>
    <t>If (H03_2_FemaleContact_No - H03_3_MaleContact_No)==-1 then only Male access==1</t>
  </si>
  <si>
    <t>If (H03_2_FemaleContact_No + H03_3_MaleContact_No)=2 then Joint==1</t>
  </si>
  <si>
    <t>ICV*J13_Plotsize_metersqure_GPS for all plots then collapse (sum) the result</t>
  </si>
  <si>
    <t>NonICV*J13_Plotsize_metersqure_GPS for all plots then collapse (sum) the result</t>
  </si>
  <si>
    <t>ICV*Male_managed*J13_Plotsize_metersqure_GPS for all plots then collapse (sum) the result</t>
  </si>
  <si>
    <t>ICV*Female_managed*J13_Plotsize_metersqure_GPS for all plots then collapse (sum) the result</t>
  </si>
  <si>
    <t>ICV*Joint_managed*J13_Plotsize_metersqure_GPS for all plots then collapse (sum) the result</t>
  </si>
  <si>
    <t>NonICV*Male_managed*J13_Plotsize_metersqure_GPS for all plots then collapse (sum) the result</t>
  </si>
  <si>
    <t>NonICV*Female_managed*J13_Plotsize_metersqure_GPS for all plots then collapse (sum) the result</t>
  </si>
  <si>
    <t>NonICV*Joint_managed*J13_Plotsize_metersqure_GPS for all plots then collapse (sum) the result</t>
  </si>
  <si>
    <t>Sum (ICV_Plot_Size and NonICV_Plot_Size)</t>
  </si>
  <si>
    <t>collapse (mean) J13_Plotsize_metersqure_GPS</t>
  </si>
  <si>
    <t>If Household_assets==12 then G05b_Tnumber</t>
  </si>
  <si>
    <t>If Household_assets==12 then G06_UnitValue_Naira</t>
  </si>
  <si>
    <t>If Household_assets==12 then G07_women_portion</t>
  </si>
  <si>
    <t>If Household_assets==12 then G08_men_portion</t>
  </si>
  <si>
    <t>If Household_assets==12 then 1 if G05a_hhd_asset_own==1</t>
  </si>
  <si>
    <t>IF production_asset==7 then (production_asset*G05a_asset_ownership*G06_Value_Naira*G05b_Number)</t>
  </si>
  <si>
    <t>IF production_asset==7 then (production_asset*G05a_asset_ownership*G06_Value_Naira*G08_men_portn)</t>
  </si>
  <si>
    <t>IF production_asset==7 then (production_asset*G05a_asset_ownership*G06_Value_Naira*G07_women_portn)</t>
  </si>
  <si>
    <t>IF production_asset==3 then (production_asset*G05a_asset_ownership*G06_Value_Naira*G05b_Number)</t>
  </si>
  <si>
    <t>IF production_asset==3 then (production_asset*G05a_asset_ownership*G06_Value_Naira*G08_men_portn)</t>
  </si>
  <si>
    <t>IF production_asset==3 then (production_asset*G05a_asset_ownership*G06_Value_Naira*G07_women_portn)</t>
  </si>
  <si>
    <t>If production_asset==3 then 1 if G05a_hhd_asset_own==1</t>
  </si>
  <si>
    <t>If production_asset==3 then G06_UnitValue_Naira</t>
  </si>
  <si>
    <t>If production_asset==3 then G05b_Tnumber</t>
  </si>
  <si>
    <t>If production_asset==3 then G07_women_portion</t>
  </si>
  <si>
    <t>If production_asset==3 then G08_men_portion</t>
  </si>
  <si>
    <t>If production_asset==7 then 1 if G05a_hhd_asset_own==1</t>
  </si>
  <si>
    <t>If production_asset==7 then G05b_Tnumber</t>
  </si>
  <si>
    <t>If production_asset==7 then G06_UnitValue_Naira</t>
  </si>
  <si>
    <t>If production_asset==7 then G07_women_portion</t>
  </si>
  <si>
    <t>If production_asset==7 then G08_men_portion</t>
  </si>
  <si>
    <t>production_asset*G05a_asset_ownership*G06_Value_Naira*G05b_Number, collapse (sum) result</t>
  </si>
  <si>
    <t>production_asset*G05a_asset_ownership*G06_Value_Naira*G08_men_portn, collapse (sum) result</t>
  </si>
  <si>
    <t>production_asset*G05a_asset_ownership*G06_Value_Naira*G07_women_portn, collapse (sum) results</t>
  </si>
  <si>
    <t>If generated (G), what variables were used? Also, may be used to clarify how variable was derived</t>
  </si>
  <si>
    <t>Land_Operated_Cassava_Proportion</t>
  </si>
  <si>
    <t>Land_Owned_Cassava_Proportion</t>
  </si>
  <si>
    <t>Indicates the proportion of land that is operated by the household dedicated to cassava</t>
  </si>
  <si>
    <t>Indicates the proportion of land OWNED by the household dedicated to cassava prodction</t>
  </si>
  <si>
    <t>keep if Land_Category==8, gen Land_Owned_Cassava_Proportion=0, replace Land__Owned_Operated_Cassava=(C02_Land_cassav_cultivatn/C01 _Land_holdng), replace Land_Owned_Cassava_Proportion=0 if  Land_Owned_Cassava_Proportion==.</t>
  </si>
  <si>
    <t>keep if Land_Category==9, gen Land_Operated_Cassava_Proportion=0, replace Land_Operated_Cassava_Proportion=(C02_Land_cassav_cultivatn/C01 _Land_holdng), replace Land_Operated_Cassava_Proportion=0 if  Land_Operated_Cassava==.</t>
  </si>
  <si>
    <t>Land_category_All regions</t>
  </si>
  <si>
    <t>Land_category__Spouse_All regions</t>
  </si>
  <si>
    <t>Obs</t>
  </si>
  <si>
    <t>Std. Dev.</t>
  </si>
  <si>
    <t>Wife Responses</t>
  </si>
  <si>
    <t>Husband Responses</t>
  </si>
  <si>
    <t>Production Assets</t>
  </si>
  <si>
    <t>Livestock Assets - In Animal Units</t>
  </si>
  <si>
    <t>Processing Assets</t>
  </si>
  <si>
    <t>ICV &amp; Non ICV Plot Managemnt</t>
  </si>
  <si>
    <t>Demographics</t>
  </si>
  <si>
    <t>Institutions - Credit - Extension</t>
  </si>
  <si>
    <t>Cassava Consumption and Income Streams</t>
  </si>
  <si>
    <t>Wife Response</t>
  </si>
  <si>
    <t>Husband Response</t>
  </si>
  <si>
    <t>Head of household</t>
  </si>
  <si>
    <t>Spouse</t>
  </si>
  <si>
    <t>Son/daughter</t>
  </si>
  <si>
    <t>Parent</t>
  </si>
  <si>
    <t>Son/daughter in Law</t>
  </si>
  <si>
    <t>No info given</t>
  </si>
  <si>
    <t>Relationship to Head of Household</t>
  </si>
  <si>
    <t>Married living w/ spouse</t>
  </si>
  <si>
    <t>Married but spouse is away</t>
  </si>
  <si>
    <t>Divorced/seperated</t>
  </si>
  <si>
    <t>Widow/widower</t>
  </si>
  <si>
    <t>Never married</t>
  </si>
  <si>
    <t>Marital Status of Respondent</t>
  </si>
  <si>
    <t>Geographical Zone</t>
  </si>
  <si>
    <t>North</t>
  </si>
  <si>
    <t>South-West</t>
  </si>
  <si>
    <t>South-East</t>
  </si>
  <si>
    <t>South-South</t>
  </si>
  <si>
    <t>Zone ID</t>
  </si>
  <si>
    <t>Relation to Head of Hosue</t>
  </si>
  <si>
    <t>Occupation</t>
  </si>
  <si>
    <t>Farming (crop+livestock)</t>
  </si>
  <si>
    <t>Salaried employment</t>
  </si>
  <si>
    <t>Self employed off farm</t>
  </si>
  <si>
    <t>School/college child</t>
  </si>
  <si>
    <t>Household chores</t>
  </si>
  <si>
    <t>Other</t>
  </si>
  <si>
    <t>None</t>
  </si>
  <si>
    <t>Main Occupation</t>
  </si>
  <si>
    <t xml:space="preserve">There is one observation that a wife states the is an amount of land owned that is under cassava cultivation that is more than 5x the total land </t>
  </si>
  <si>
    <t>the wife states the household owns.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</si>
</sst>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0" fillId="0" borderId="13" xfId="0" applyBorder="1"/>
    <xf numFmtId="1" fontId="3" fillId="3" borderId="0" xfId="0" applyNumberFormat="1" applyFont="1" applyFill="1" applyAlignment="1">
      <alignment horizontal="left" vertical="center"/>
    </xf>
    <xf numFmtId="164" fontId="3" fillId="3" borderId="14" xfId="0" applyNumberFormat="1" applyFont="1" applyFill="1" applyBorder="1" applyAlignment="1">
      <alignment horizontal="left" vertical="center"/>
    </xf>
    <xf numFmtId="0" fontId="3" fillId="2" borderId="0" xfId="0" applyFont="1" applyFill="1"/>
    <xf numFmtId="0" fontId="3" fillId="2" borderId="17" xfId="0" applyFont="1" applyFill="1" applyBorder="1"/>
    <xf numFmtId="0" fontId="3" fillId="2" borderId="15" xfId="0" applyFont="1" applyFill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1" fontId="3" fillId="0" borderId="19" xfId="0" applyNumberFormat="1" applyFont="1" applyBorder="1" applyAlignment="1">
      <alignment horizontal="left" vertical="center"/>
    </xf>
    <xf numFmtId="164" fontId="3" fillId="0" borderId="21" xfId="0" applyNumberFormat="1" applyFont="1" applyBorder="1" applyAlignment="1">
      <alignment horizontal="left" vertical="center"/>
    </xf>
    <xf numFmtId="0" fontId="3" fillId="2" borderId="19" xfId="0" applyFont="1" applyFill="1" applyBorder="1"/>
    <xf numFmtId="0" fontId="3" fillId="2" borderId="23" xfId="0" applyFont="1" applyFill="1" applyBorder="1"/>
    <xf numFmtId="0" fontId="3" fillId="2" borderId="22" xfId="0" applyFont="1" applyFill="1" applyBorder="1"/>
    <xf numFmtId="0" fontId="0" fillId="0" borderId="16" xfId="0" applyBorder="1"/>
    <xf numFmtId="164" fontId="3" fillId="0" borderId="0" xfId="0" applyNumberFormat="1" applyFont="1" applyAlignment="1">
      <alignment horizontal="left" vertical="center"/>
    </xf>
    <xf numFmtId="164" fontId="3" fillId="0" borderId="14" xfId="0" applyNumberFormat="1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164" fontId="3" fillId="0" borderId="19" xfId="0" applyNumberFormat="1" applyFont="1" applyBorder="1" applyAlignment="1">
      <alignment horizontal="left" vertical="center"/>
    </xf>
    <xf numFmtId="164" fontId="3" fillId="0" borderId="22" xfId="0" applyNumberFormat="1" applyFont="1" applyBorder="1" applyAlignment="1">
      <alignment horizontal="left" vertical="center"/>
    </xf>
    <xf numFmtId="164" fontId="3" fillId="3" borderId="19" xfId="0" applyNumberFormat="1" applyFont="1" applyFill="1" applyBorder="1" applyAlignment="1">
      <alignment horizontal="left" vertical="center"/>
    </xf>
    <xf numFmtId="0" fontId="3" fillId="0" borderId="12" xfId="0" applyFont="1" applyBorder="1"/>
    <xf numFmtId="0" fontId="3" fillId="0" borderId="9" xfId="0" applyFont="1" applyBorder="1"/>
    <xf numFmtId="164" fontId="3" fillId="3" borderId="0" xfId="0" applyNumberFormat="1" applyFont="1" applyFill="1" applyAlignment="1">
      <alignment horizontal="left" vertical="center"/>
    </xf>
    <xf numFmtId="164" fontId="3" fillId="3" borderId="15" xfId="0" applyNumberFormat="1" applyFont="1" applyFill="1" applyBorder="1" applyAlignment="1">
      <alignment horizontal="left" vertical="center"/>
    </xf>
    <xf numFmtId="164" fontId="4" fillId="3" borderId="0" xfId="0" applyNumberFormat="1" applyFont="1" applyFill="1" applyAlignment="1">
      <alignment horizontal="left" vertical="center"/>
    </xf>
    <xf numFmtId="164" fontId="3" fillId="0" borderId="24" xfId="0" applyNumberFormat="1" applyFont="1" applyBorder="1" applyAlignment="1">
      <alignment horizontal="left" vertical="center"/>
    </xf>
    <xf numFmtId="164" fontId="3" fillId="0" borderId="26" xfId="0" applyNumberFormat="1" applyFont="1" applyBorder="1" applyAlignment="1">
      <alignment horizontal="left" vertical="center"/>
    </xf>
    <xf numFmtId="0" fontId="5" fillId="0" borderId="0" xfId="0" applyFont="1"/>
    <xf numFmtId="0" fontId="5" fillId="0" borderId="16" xfId="0" applyFont="1" applyBorder="1"/>
    <xf numFmtId="0" fontId="3" fillId="0" borderId="0" xfId="0" applyFont="1" applyAlignment="1">
      <alignment horizontal="left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14" xfId="0" applyNumberFormat="1" applyFont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64" fontId="3" fillId="0" borderId="15" xfId="0" applyNumberFormat="1" applyFont="1" applyBorder="1" applyAlignment="1">
      <alignment horizontal="left"/>
    </xf>
    <xf numFmtId="164" fontId="3" fillId="3" borderId="0" xfId="0" applyNumberFormat="1" applyFont="1" applyFill="1" applyAlignment="1">
      <alignment horizontal="left"/>
    </xf>
    <xf numFmtId="164" fontId="3" fillId="3" borderId="14" xfId="0" applyNumberFormat="1" applyFont="1" applyFill="1" applyBorder="1" applyAlignment="1">
      <alignment horizontal="left"/>
    </xf>
    <xf numFmtId="164" fontId="3" fillId="3" borderId="15" xfId="0" applyNumberFormat="1" applyFont="1" applyFill="1" applyBorder="1" applyAlignment="1">
      <alignment horizontal="left"/>
    </xf>
    <xf numFmtId="164" fontId="3" fillId="0" borderId="19" xfId="0" applyNumberFormat="1" applyFont="1" applyBorder="1" applyAlignment="1">
      <alignment horizontal="left"/>
    </xf>
    <xf numFmtId="164" fontId="3" fillId="0" borderId="22" xfId="0" applyNumberFormat="1" applyFont="1" applyBorder="1" applyAlignment="1">
      <alignment horizontal="left"/>
    </xf>
    <xf numFmtId="164" fontId="3" fillId="0" borderId="17" xfId="0" applyNumberFormat="1" applyFont="1" applyBorder="1" applyAlignment="1">
      <alignment horizontal="left"/>
    </xf>
    <xf numFmtId="164" fontId="4" fillId="3" borderId="0" xfId="0" applyNumberFormat="1" applyFont="1" applyFill="1" applyAlignment="1">
      <alignment horizontal="left"/>
    </xf>
    <xf numFmtId="164" fontId="4" fillId="3" borderId="17" xfId="0" applyNumberFormat="1" applyFont="1" applyFill="1" applyBorder="1" applyAlignment="1">
      <alignment horizontal="left"/>
    </xf>
    <xf numFmtId="164" fontId="4" fillId="3" borderId="19" xfId="0" applyNumberFormat="1" applyFont="1" applyFill="1" applyBorder="1" applyAlignment="1">
      <alignment horizontal="left"/>
    </xf>
    <xf numFmtId="164" fontId="4" fillId="3" borderId="23" xfId="0" applyNumberFormat="1" applyFont="1" applyFill="1" applyBorder="1" applyAlignment="1">
      <alignment horizontal="left"/>
    </xf>
    <xf numFmtId="0" fontId="3" fillId="0" borderId="30" xfId="0" applyFont="1" applyBorder="1"/>
    <xf numFmtId="164" fontId="3" fillId="3" borderId="19" xfId="0" applyNumberFormat="1" applyFont="1" applyFill="1" applyBorder="1" applyAlignment="1">
      <alignment horizontal="left"/>
    </xf>
    <xf numFmtId="164" fontId="3" fillId="3" borderId="22" xfId="0" applyNumberFormat="1" applyFont="1" applyFill="1" applyBorder="1" applyAlignment="1">
      <alignment horizontal="left"/>
    </xf>
    <xf numFmtId="164" fontId="3" fillId="0" borderId="24" xfId="0" applyNumberFormat="1" applyFont="1" applyBorder="1" applyAlignment="1">
      <alignment horizontal="left"/>
    </xf>
    <xf numFmtId="164" fontId="3" fillId="0" borderId="31" xfId="0" applyNumberFormat="1" applyFont="1" applyBorder="1" applyAlignment="1">
      <alignment horizontal="left"/>
    </xf>
    <xf numFmtId="164" fontId="0" fillId="0" borderId="26" xfId="0" applyNumberFormat="1" applyBorder="1" applyAlignment="1">
      <alignment horizontal="left"/>
    </xf>
    <xf numFmtId="164" fontId="3" fillId="0" borderId="26" xfId="0" applyNumberFormat="1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164" fontId="3" fillId="0" borderId="15" xfId="0" applyNumberFormat="1" applyFont="1" applyBorder="1"/>
    <xf numFmtId="0" fontId="3" fillId="0" borderId="32" xfId="0" applyFont="1" applyBorder="1"/>
    <xf numFmtId="0" fontId="3" fillId="0" borderId="24" xfId="0" applyFont="1" applyBorder="1"/>
    <xf numFmtId="0" fontId="0" fillId="0" borderId="33" xfId="0" applyBorder="1"/>
    <xf numFmtId="0" fontId="3" fillId="0" borderId="33" xfId="0" applyFont="1" applyBorder="1"/>
    <xf numFmtId="0" fontId="3" fillId="2" borderId="24" xfId="0" applyFont="1" applyFill="1" applyBorder="1"/>
    <xf numFmtId="0" fontId="3" fillId="2" borderId="31" xfId="0" applyFont="1" applyFill="1" applyBorder="1"/>
    <xf numFmtId="0" fontId="3" fillId="2" borderId="26" xfId="0" applyFont="1" applyFill="1" applyBorder="1"/>
    <xf numFmtId="164" fontId="3" fillId="0" borderId="14" xfId="0" quotePrefix="1" applyNumberFormat="1" applyFont="1" applyBorder="1" applyAlignment="1">
      <alignment horizontal="left" vertical="center"/>
    </xf>
    <xf numFmtId="164" fontId="3" fillId="0" borderId="19" xfId="0" applyNumberFormat="1" applyFont="1" applyFill="1" applyBorder="1" applyAlignment="1">
      <alignment horizontal="left" vertical="center"/>
    </xf>
    <xf numFmtId="164" fontId="3" fillId="0" borderId="21" xfId="0" applyNumberFormat="1" applyFont="1" applyFill="1" applyBorder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164" fontId="3" fillId="4" borderId="14" xfId="0" quotePrefix="1" applyNumberFormat="1" applyFont="1" applyFill="1" applyBorder="1" applyAlignment="1">
      <alignment horizontal="left" vertical="center"/>
    </xf>
    <xf numFmtId="164" fontId="3" fillId="4" borderId="15" xfId="0" applyNumberFormat="1" applyFont="1" applyFill="1" applyBorder="1" applyAlignment="1">
      <alignment horizontal="left" vertical="center"/>
    </xf>
    <xf numFmtId="164" fontId="3" fillId="3" borderId="14" xfId="0" quotePrefix="1" applyNumberFormat="1" applyFont="1" applyFill="1" applyBorder="1" applyAlignment="1">
      <alignment horizontal="left" vertical="center"/>
    </xf>
    <xf numFmtId="164" fontId="3" fillId="3" borderId="21" xfId="0" quotePrefix="1" applyNumberFormat="1" applyFont="1" applyFill="1" applyBorder="1" applyAlignment="1">
      <alignment horizontal="left" vertical="center"/>
    </xf>
    <xf numFmtId="164" fontId="3" fillId="0" borderId="21" xfId="0" quotePrefix="1" applyNumberFormat="1" applyFont="1" applyBorder="1" applyAlignment="1">
      <alignment horizontal="left" vertical="center"/>
    </xf>
    <xf numFmtId="164" fontId="4" fillId="3" borderId="14" xfId="0" quotePrefix="1" applyNumberFormat="1" applyFont="1" applyFill="1" applyBorder="1" applyAlignment="1">
      <alignment horizontal="left" vertical="center"/>
    </xf>
    <xf numFmtId="164" fontId="3" fillId="0" borderId="25" xfId="0" quotePrefix="1" applyNumberFormat="1" applyFont="1" applyBorder="1" applyAlignment="1">
      <alignment horizontal="left" vertical="center"/>
    </xf>
    <xf numFmtId="164" fontId="3" fillId="4" borderId="19" xfId="0" applyNumberFormat="1" applyFont="1" applyFill="1" applyBorder="1" applyAlignment="1">
      <alignment horizontal="left" vertical="center"/>
    </xf>
    <xf numFmtId="164" fontId="3" fillId="4" borderId="21" xfId="0" quotePrefix="1" applyNumberFormat="1" applyFont="1" applyFill="1" applyBorder="1" applyAlignment="1">
      <alignment horizontal="left" vertical="center"/>
    </xf>
    <xf numFmtId="164" fontId="3" fillId="0" borderId="22" xfId="0" applyNumberFormat="1" applyFont="1" applyFill="1" applyBorder="1" applyAlignment="1">
      <alignment horizontal="left" vertical="center"/>
    </xf>
    <xf numFmtId="164" fontId="3" fillId="0" borderId="15" xfId="0" applyNumberFormat="1" applyFont="1" applyFill="1" applyBorder="1" applyAlignment="1">
      <alignment horizontal="left" vertical="center"/>
    </xf>
    <xf numFmtId="164" fontId="3" fillId="4" borderId="22" xfId="0" applyNumberFormat="1" applyFont="1" applyFill="1" applyBorder="1" applyAlignment="1">
      <alignment horizontal="left" vertical="center"/>
    </xf>
    <xf numFmtId="0" fontId="3" fillId="0" borderId="21" xfId="0" quotePrefix="1" applyFont="1" applyBorder="1" applyAlignment="1">
      <alignment horizontal="left"/>
    </xf>
    <xf numFmtId="164" fontId="3" fillId="3" borderId="14" xfId="0" quotePrefix="1" applyNumberFormat="1" applyFont="1" applyFill="1" applyBorder="1" applyAlignment="1">
      <alignment horizontal="left"/>
    </xf>
    <xf numFmtId="164" fontId="4" fillId="3" borderId="19" xfId="0" quotePrefix="1" applyNumberFormat="1" applyFont="1" applyFill="1" applyBorder="1" applyAlignment="1">
      <alignment horizontal="left"/>
    </xf>
    <xf numFmtId="164" fontId="3" fillId="0" borderId="14" xfId="0" quotePrefix="1" applyNumberFormat="1" applyFont="1" applyBorder="1" applyAlignment="1">
      <alignment horizontal="left"/>
    </xf>
    <xf numFmtId="164" fontId="3" fillId="0" borderId="0" xfId="0" quotePrefix="1" applyNumberFormat="1" applyFont="1" applyAlignment="1">
      <alignment horizontal="left"/>
    </xf>
    <xf numFmtId="164" fontId="3" fillId="4" borderId="0" xfId="0" applyNumberFormat="1" applyFont="1" applyFill="1" applyAlignment="1">
      <alignment horizontal="left"/>
    </xf>
    <xf numFmtId="164" fontId="3" fillId="4" borderId="14" xfId="0" applyNumberFormat="1" applyFont="1" applyFill="1" applyBorder="1" applyAlignment="1">
      <alignment horizontal="left"/>
    </xf>
    <xf numFmtId="164" fontId="3" fillId="4" borderId="15" xfId="0" applyNumberFormat="1" applyFont="1" applyFill="1" applyBorder="1" applyAlignment="1">
      <alignment horizontal="left"/>
    </xf>
    <xf numFmtId="164" fontId="3" fillId="4" borderId="19" xfId="0" applyNumberFormat="1" applyFont="1" applyFill="1" applyBorder="1" applyAlignment="1">
      <alignment horizontal="left"/>
    </xf>
    <xf numFmtId="164" fontId="3" fillId="4" borderId="21" xfId="0" applyNumberFormat="1" applyFont="1" applyFill="1" applyBorder="1" applyAlignment="1">
      <alignment horizontal="left"/>
    </xf>
    <xf numFmtId="164" fontId="3" fillId="4" borderId="22" xfId="0" applyNumberFormat="1" applyFont="1" applyFill="1" applyBorder="1" applyAlignment="1">
      <alignment horizontal="left"/>
    </xf>
    <xf numFmtId="164" fontId="3" fillId="0" borderId="19" xfId="0" applyNumberFormat="1" applyFont="1" applyFill="1" applyBorder="1" applyAlignment="1">
      <alignment horizontal="left"/>
    </xf>
    <xf numFmtId="164" fontId="3" fillId="0" borderId="21" xfId="0" quotePrefix="1" applyNumberFormat="1" applyFont="1" applyFill="1" applyBorder="1" applyAlignment="1">
      <alignment horizontal="left"/>
    </xf>
    <xf numFmtId="0" fontId="3" fillId="0" borderId="2" xfId="0" applyFont="1" applyBorder="1"/>
    <xf numFmtId="0" fontId="3" fillId="0" borderId="4" xfId="0" applyFont="1" applyBorder="1"/>
    <xf numFmtId="0" fontId="3" fillId="0" borderId="40" xfId="0" applyFont="1" applyBorder="1"/>
    <xf numFmtId="0" fontId="3" fillId="0" borderId="34" xfId="0" applyFont="1" applyBorder="1"/>
    <xf numFmtId="0" fontId="3" fillId="2" borderId="2" xfId="0" applyFont="1" applyFill="1" applyBorder="1"/>
    <xf numFmtId="0" fontId="3" fillId="2" borderId="41" xfId="0" applyFont="1" applyFill="1" applyBorder="1"/>
    <xf numFmtId="0" fontId="3" fillId="2" borderId="34" xfId="0" applyFont="1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3" fillId="2" borderId="0" xfId="0" applyFont="1" applyFill="1" applyBorder="1"/>
    <xf numFmtId="0" fontId="3" fillId="0" borderId="14" xfId="0" quotePrefix="1" applyFont="1" applyBorder="1" applyAlignment="1">
      <alignment horizontal="left"/>
    </xf>
    <xf numFmtId="0" fontId="3" fillId="0" borderId="25" xfId="0" quotePrefix="1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50" xfId="0" applyFont="1" applyBorder="1"/>
    <xf numFmtId="0" fontId="3" fillId="0" borderId="51" xfId="0" applyFont="1" applyBorder="1"/>
    <xf numFmtId="0" fontId="3" fillId="0" borderId="0" xfId="0" applyFont="1" applyAlignment="1">
      <alignment horizontal="left" vertical="center"/>
    </xf>
    <xf numFmtId="164" fontId="3" fillId="0" borderId="16" xfId="0" applyNumberFormat="1" applyFont="1" applyBorder="1" applyAlignment="1">
      <alignment horizontal="left" vertical="center"/>
    </xf>
    <xf numFmtId="164" fontId="3" fillId="0" borderId="17" xfId="0" applyNumberFormat="1" applyFont="1" applyBorder="1"/>
    <xf numFmtId="164" fontId="3" fillId="3" borderId="16" xfId="0" applyNumberFormat="1" applyFont="1" applyFill="1" applyBorder="1" applyAlignment="1">
      <alignment horizontal="left" vertical="center"/>
    </xf>
    <xf numFmtId="0" fontId="3" fillId="0" borderId="53" xfId="0" applyFont="1" applyBorder="1"/>
    <xf numFmtId="0" fontId="3" fillId="0" borderId="19" xfId="0" applyFont="1" applyBorder="1" applyAlignment="1">
      <alignment horizontal="left" vertical="center"/>
    </xf>
    <xf numFmtId="164" fontId="3" fillId="0" borderId="18" xfId="0" applyNumberFormat="1" applyFont="1" applyBorder="1" applyAlignment="1">
      <alignment horizontal="left" vertical="center"/>
    </xf>
    <xf numFmtId="0" fontId="3" fillId="0" borderId="54" xfId="0" applyFont="1" applyBorder="1"/>
    <xf numFmtId="0" fontId="3" fillId="0" borderId="24" xfId="0" applyFont="1" applyBorder="1" applyAlignment="1">
      <alignment horizontal="left" vertical="center"/>
    </xf>
    <xf numFmtId="164" fontId="3" fillId="0" borderId="32" xfId="0" applyNumberFormat="1" applyFont="1" applyBorder="1" applyAlignment="1">
      <alignment horizontal="left" vertical="center"/>
    </xf>
    <xf numFmtId="0" fontId="3" fillId="0" borderId="56" xfId="0" applyFont="1" applyBorder="1"/>
    <xf numFmtId="0" fontId="3" fillId="0" borderId="57" xfId="0" applyFont="1" applyBorder="1"/>
    <xf numFmtId="0" fontId="3" fillId="0" borderId="1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3" fillId="0" borderId="27" xfId="0" applyFont="1" applyBorder="1"/>
    <xf numFmtId="0" fontId="3" fillId="0" borderId="21" xfId="0" quotePrefix="1" applyFont="1" applyBorder="1" applyAlignment="1">
      <alignment horizontal="left" vertical="center"/>
    </xf>
    <xf numFmtId="0" fontId="3" fillId="3" borderId="21" xfId="0" quotePrefix="1" applyFont="1" applyFill="1" applyBorder="1" applyAlignment="1">
      <alignment horizontal="left" vertical="center"/>
    </xf>
    <xf numFmtId="0" fontId="3" fillId="0" borderId="51" xfId="0" applyFont="1" applyFill="1" applyBorder="1"/>
    <xf numFmtId="0" fontId="3" fillId="0" borderId="5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Border="1"/>
    <xf numFmtId="0" fontId="3" fillId="0" borderId="21" xfId="0" applyFont="1" applyBorder="1"/>
    <xf numFmtId="0" fontId="0" fillId="0" borderId="15" xfId="0" applyBorder="1"/>
    <xf numFmtId="0" fontId="1" fillId="0" borderId="32" xfId="0" applyFont="1" applyBorder="1"/>
    <xf numFmtId="0" fontId="3" fillId="0" borderId="52" xfId="0" applyFont="1" applyFill="1" applyBorder="1"/>
    <xf numFmtId="0" fontId="3" fillId="0" borderId="54" xfId="0" applyFont="1" applyFill="1" applyBorder="1"/>
    <xf numFmtId="0" fontId="3" fillId="4" borderId="22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4" borderId="14" xfId="0" applyFont="1" applyFill="1" applyBorder="1"/>
    <xf numFmtId="0" fontId="3" fillId="4" borderId="15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1" fillId="4" borderId="25" xfId="0" applyFont="1" applyFill="1" applyBorder="1"/>
    <xf numFmtId="0" fontId="3" fillId="4" borderId="26" xfId="0" applyFont="1" applyFill="1" applyBorder="1" applyAlignment="1">
      <alignment horizontal="left" vertical="center"/>
    </xf>
    <xf numFmtId="164" fontId="3" fillId="4" borderId="16" xfId="0" applyNumberFormat="1" applyFont="1" applyFill="1" applyBorder="1" applyAlignment="1">
      <alignment horizontal="left" vertical="center"/>
    </xf>
    <xf numFmtId="164" fontId="3" fillId="4" borderId="18" xfId="0" applyNumberFormat="1" applyFont="1" applyFill="1" applyBorder="1" applyAlignment="1">
      <alignment horizontal="left" vertical="center"/>
    </xf>
    <xf numFmtId="164" fontId="3" fillId="4" borderId="14" xfId="0" applyNumberFormat="1" applyFont="1" applyFill="1" applyBorder="1" applyAlignment="1">
      <alignment horizontal="left" vertical="center"/>
    </xf>
    <xf numFmtId="164" fontId="3" fillId="4" borderId="32" xfId="0" applyNumberFormat="1" applyFont="1" applyFill="1" applyBorder="1" applyAlignment="1">
      <alignment horizontal="left" vertical="center"/>
    </xf>
    <xf numFmtId="164" fontId="3" fillId="4" borderId="24" xfId="0" applyNumberFormat="1" applyFont="1" applyFill="1" applyBorder="1" applyAlignment="1">
      <alignment horizontal="left" vertical="center"/>
    </xf>
    <xf numFmtId="164" fontId="3" fillId="4" borderId="25" xfId="0" applyNumberFormat="1" applyFont="1" applyFill="1" applyBorder="1" applyAlignment="1">
      <alignment horizontal="left" vertical="center"/>
    </xf>
    <xf numFmtId="164" fontId="3" fillId="4" borderId="26" xfId="0" applyNumberFormat="1" applyFont="1" applyFill="1" applyBorder="1" applyAlignment="1">
      <alignment horizontal="left" vertical="center"/>
    </xf>
    <xf numFmtId="0" fontId="3" fillId="2" borderId="6" xfId="0" applyFont="1" applyFill="1" applyBorder="1"/>
    <xf numFmtId="0" fontId="3" fillId="2" borderId="57" xfId="0" applyFont="1" applyFill="1" applyBorder="1"/>
    <xf numFmtId="0" fontId="3" fillId="2" borderId="8" xfId="0" applyFont="1" applyFill="1" applyBorder="1"/>
    <xf numFmtId="164" fontId="3" fillId="0" borderId="16" xfId="0" applyNumberFormat="1" applyFont="1" applyBorder="1" applyAlignment="1">
      <alignment horizontal="left"/>
    </xf>
    <xf numFmtId="164" fontId="3" fillId="3" borderId="16" xfId="0" applyNumberFormat="1" applyFont="1" applyFill="1" applyBorder="1" applyAlignment="1">
      <alignment horizontal="left"/>
    </xf>
    <xf numFmtId="164" fontId="3" fillId="3" borderId="18" xfId="0" applyNumberFormat="1" applyFont="1" applyFill="1" applyBorder="1" applyAlignment="1">
      <alignment horizontal="left"/>
    </xf>
    <xf numFmtId="0" fontId="3" fillId="3" borderId="21" xfId="0" applyFont="1" applyFill="1" applyBorder="1" applyAlignment="1">
      <alignment horizontal="left"/>
    </xf>
    <xf numFmtId="164" fontId="3" fillId="0" borderId="16" xfId="0" applyNumberFormat="1" applyFont="1" applyBorder="1"/>
    <xf numFmtId="0" fontId="0" fillId="0" borderId="32" xfId="0" applyBorder="1"/>
    <xf numFmtId="0" fontId="3" fillId="3" borderId="32" xfId="0" applyFont="1" applyFill="1" applyBorder="1" applyAlignment="1">
      <alignment horizontal="left"/>
    </xf>
    <xf numFmtId="0" fontId="3" fillId="3" borderId="24" xfId="0" applyFont="1" applyFill="1" applyBorder="1" applyAlignment="1">
      <alignment horizontal="left"/>
    </xf>
    <xf numFmtId="164" fontId="3" fillId="3" borderId="26" xfId="0" applyNumberFormat="1" applyFont="1" applyFill="1" applyBorder="1" applyAlignment="1">
      <alignment horizontal="left"/>
    </xf>
    <xf numFmtId="0" fontId="3" fillId="0" borderId="22" xfId="0" applyFont="1" applyBorder="1"/>
    <xf numFmtId="164" fontId="3" fillId="3" borderId="0" xfId="0" applyNumberFormat="1" applyFont="1" applyFill="1" applyBorder="1" applyAlignment="1">
      <alignment horizontal="left"/>
    </xf>
    <xf numFmtId="0" fontId="3" fillId="3" borderId="14" xfId="0" quotePrefix="1" applyFont="1" applyFill="1" applyBorder="1" applyAlignment="1">
      <alignment horizontal="left"/>
    </xf>
    <xf numFmtId="0" fontId="3" fillId="3" borderId="21" xfId="0" quotePrefix="1" applyFont="1" applyFill="1" applyBorder="1" applyAlignment="1">
      <alignment horizontal="left"/>
    </xf>
    <xf numFmtId="0" fontId="3" fillId="3" borderId="25" xfId="0" quotePrefix="1" applyFont="1" applyFill="1" applyBorder="1" applyAlignment="1">
      <alignment horizontal="left"/>
    </xf>
    <xf numFmtId="164" fontId="3" fillId="4" borderId="16" xfId="0" applyNumberFormat="1" applyFont="1" applyFill="1" applyBorder="1" applyAlignment="1">
      <alignment horizontal="left"/>
    </xf>
    <xf numFmtId="164" fontId="3" fillId="4" borderId="0" xfId="0" applyNumberFormat="1" applyFont="1" applyFill="1" applyBorder="1" applyAlignment="1">
      <alignment horizontal="left"/>
    </xf>
    <xf numFmtId="0" fontId="3" fillId="4" borderId="14" xfId="0" quotePrefix="1" applyFont="1" applyFill="1" applyBorder="1" applyAlignment="1">
      <alignment horizontal="left"/>
    </xf>
    <xf numFmtId="164" fontId="3" fillId="0" borderId="16" xfId="0" applyNumberFormat="1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horizontal="left"/>
    </xf>
    <xf numFmtId="0" fontId="3" fillId="0" borderId="14" xfId="0" applyFont="1" applyFill="1" applyBorder="1" applyAlignment="1">
      <alignment horizontal="left"/>
    </xf>
    <xf numFmtId="164" fontId="3" fillId="0" borderId="15" xfId="0" applyNumberFormat="1" applyFont="1" applyFill="1" applyBorder="1" applyAlignment="1">
      <alignment horizontal="left"/>
    </xf>
    <xf numFmtId="164" fontId="3" fillId="3" borderId="17" xfId="0" applyNumberFormat="1" applyFont="1" applyFill="1" applyBorder="1" applyAlignment="1">
      <alignment horizontal="left"/>
    </xf>
    <xf numFmtId="164" fontId="3" fillId="0" borderId="18" xfId="0" applyNumberFormat="1" applyFont="1" applyBorder="1" applyAlignment="1">
      <alignment horizontal="left"/>
    </xf>
    <xf numFmtId="164" fontId="3" fillId="0" borderId="23" xfId="0" applyNumberFormat="1" applyFont="1" applyBorder="1" applyAlignment="1">
      <alignment horizontal="left"/>
    </xf>
    <xf numFmtId="0" fontId="3" fillId="0" borderId="19" xfId="0" quotePrefix="1" applyFont="1" applyBorder="1" applyAlignment="1">
      <alignment horizontal="left"/>
    </xf>
    <xf numFmtId="0" fontId="3" fillId="3" borderId="0" xfId="0" quotePrefix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64" fontId="3" fillId="4" borderId="17" xfId="0" applyNumberFormat="1" applyFont="1" applyFill="1" applyBorder="1" applyAlignment="1">
      <alignment horizontal="left"/>
    </xf>
    <xf numFmtId="0" fontId="3" fillId="4" borderId="0" xfId="0" quotePrefix="1" applyFont="1" applyFill="1" applyBorder="1" applyAlignment="1">
      <alignment horizontal="left"/>
    </xf>
    <xf numFmtId="164" fontId="3" fillId="4" borderId="32" xfId="0" applyNumberFormat="1" applyFont="1" applyFill="1" applyBorder="1" applyAlignment="1">
      <alignment horizontal="left"/>
    </xf>
    <xf numFmtId="164" fontId="3" fillId="4" borderId="31" xfId="0" applyNumberFormat="1" applyFont="1" applyFill="1" applyBorder="1" applyAlignment="1">
      <alignment horizontal="left"/>
    </xf>
    <xf numFmtId="0" fontId="3" fillId="4" borderId="24" xfId="0" quotePrefix="1" applyFont="1" applyFill="1" applyBorder="1" applyAlignment="1">
      <alignment horizontal="left"/>
    </xf>
    <xf numFmtId="164" fontId="3" fillId="4" borderId="26" xfId="0" applyNumberFormat="1" applyFont="1" applyFill="1" applyBorder="1" applyAlignment="1">
      <alignment horizontal="left"/>
    </xf>
    <xf numFmtId="0" fontId="3" fillId="2" borderId="7" xfId="0" applyFont="1" applyFill="1" applyBorder="1"/>
    <xf numFmtId="0" fontId="0" fillId="0" borderId="13" xfId="0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4" xfId="0" quotePrefix="1" applyBorder="1" applyAlignment="1">
      <alignment horizontal="left"/>
    </xf>
    <xf numFmtId="0" fontId="0" fillId="4" borderId="14" xfId="0" quotePrefix="1" applyFill="1" applyBorder="1" applyAlignment="1">
      <alignment horizontal="left"/>
    </xf>
    <xf numFmtId="164" fontId="0" fillId="4" borderId="15" xfId="0" applyNumberFormat="1" applyFill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65" fontId="0" fillId="0" borderId="14" xfId="0" quotePrefix="1" applyNumberFormat="1" applyBorder="1" applyAlignment="1">
      <alignment horizontal="left"/>
    </xf>
    <xf numFmtId="164" fontId="0" fillId="0" borderId="24" xfId="1" applyNumberFormat="1" applyFont="1" applyBorder="1" applyAlignment="1">
      <alignment horizontal="left"/>
    </xf>
    <xf numFmtId="165" fontId="0" fillId="0" borderId="25" xfId="0" quotePrefix="1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4" borderId="0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0" fontId="0" fillId="0" borderId="14" xfId="0" quotePrefix="1" applyFill="1" applyBorder="1" applyAlignment="1">
      <alignment horizontal="left"/>
    </xf>
    <xf numFmtId="0" fontId="6" fillId="0" borderId="63" xfId="0" applyFont="1" applyBorder="1" applyAlignment="1">
      <alignment vertical="center" wrapText="1"/>
    </xf>
    <xf numFmtId="0" fontId="6" fillId="0" borderId="64" xfId="0" applyFont="1" applyBorder="1" applyAlignment="1">
      <alignment vertical="center" wrapText="1"/>
    </xf>
    <xf numFmtId="0" fontId="7" fillId="0" borderId="67" xfId="0" applyFont="1" applyBorder="1" applyAlignment="1">
      <alignment vertical="center" wrapText="1"/>
    </xf>
    <xf numFmtId="0" fontId="7" fillId="0" borderId="68" xfId="0" applyFont="1" applyBorder="1" applyAlignment="1">
      <alignment vertical="center" wrapText="1"/>
    </xf>
    <xf numFmtId="0" fontId="3" fillId="0" borderId="66" xfId="0" applyFont="1" applyBorder="1" applyAlignment="1">
      <alignment wrapText="1"/>
    </xf>
    <xf numFmtId="0" fontId="7" fillId="0" borderId="69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3" fillId="0" borderId="28" xfId="0" applyFont="1" applyBorder="1"/>
    <xf numFmtId="0" fontId="3" fillId="0" borderId="39" xfId="0" applyFont="1" applyBorder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164" fontId="0" fillId="0" borderId="0" xfId="0" applyNumberFormat="1" applyBorder="1"/>
    <xf numFmtId="0" fontId="1" fillId="0" borderId="16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11" fontId="1" fillId="0" borderId="15" xfId="0" applyNumberFormat="1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164" fontId="1" fillId="0" borderId="24" xfId="0" applyNumberFormat="1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11" fontId="1" fillId="0" borderId="26" xfId="0" applyNumberFormat="1" applyFont="1" applyBorder="1" applyAlignment="1">
      <alignment vertical="center" wrapText="1"/>
    </xf>
    <xf numFmtId="0" fontId="1" fillId="0" borderId="16" xfId="0" applyFont="1" applyBorder="1"/>
    <xf numFmtId="0" fontId="9" fillId="0" borderId="16" xfId="0" applyFont="1" applyBorder="1"/>
    <xf numFmtId="0" fontId="1" fillId="0" borderId="26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9" fillId="0" borderId="4" xfId="0" applyFont="1" applyBorder="1"/>
    <xf numFmtId="164" fontId="3" fillId="5" borderId="19" xfId="0" applyNumberFormat="1" applyFont="1" applyFill="1" applyBorder="1"/>
    <xf numFmtId="164" fontId="3" fillId="5" borderId="21" xfId="0" applyNumberFormat="1" applyFont="1" applyFill="1" applyBorder="1"/>
    <xf numFmtId="164" fontId="3" fillId="5" borderId="23" xfId="0" applyNumberFormat="1" applyFont="1" applyFill="1" applyBorder="1"/>
    <xf numFmtId="164" fontId="3" fillId="5" borderId="22" xfId="0" applyNumberFormat="1" applyFont="1" applyFill="1" applyBorder="1"/>
    <xf numFmtId="164" fontId="3" fillId="5" borderId="0" xfId="0" applyNumberFormat="1" applyFont="1" applyFill="1" applyAlignment="1">
      <alignment horizontal="left" vertical="center"/>
    </xf>
    <xf numFmtId="1" fontId="3" fillId="5" borderId="0" xfId="0" applyNumberFormat="1" applyFont="1" applyFill="1" applyAlignment="1">
      <alignment horizontal="left" vertical="center"/>
    </xf>
    <xf numFmtId="1" fontId="3" fillId="5" borderId="14" xfId="0" applyNumberFormat="1" applyFont="1" applyFill="1" applyBorder="1" applyAlignment="1">
      <alignment horizontal="left" vertical="center"/>
    </xf>
    <xf numFmtId="1" fontId="3" fillId="5" borderId="17" xfId="0" applyNumberFormat="1" applyFont="1" applyFill="1" applyBorder="1" applyAlignment="1">
      <alignment horizontal="left" vertical="center"/>
    </xf>
    <xf numFmtId="1" fontId="3" fillId="5" borderId="15" xfId="0" applyNumberFormat="1" applyFont="1" applyFill="1" applyBorder="1" applyAlignment="1">
      <alignment horizontal="left" vertical="center"/>
    </xf>
    <xf numFmtId="164" fontId="3" fillId="5" borderId="19" xfId="0" applyNumberFormat="1" applyFont="1" applyFill="1" applyBorder="1" applyAlignment="1">
      <alignment horizontal="left" vertical="center"/>
    </xf>
    <xf numFmtId="1" fontId="3" fillId="5" borderId="19" xfId="0" applyNumberFormat="1" applyFont="1" applyFill="1" applyBorder="1" applyAlignment="1">
      <alignment horizontal="left" vertical="center"/>
    </xf>
    <xf numFmtId="1" fontId="3" fillId="5" borderId="21" xfId="0" applyNumberFormat="1" applyFont="1" applyFill="1" applyBorder="1" applyAlignment="1">
      <alignment horizontal="left" vertical="center"/>
    </xf>
    <xf numFmtId="1" fontId="3" fillId="5" borderId="23" xfId="0" applyNumberFormat="1" applyFont="1" applyFill="1" applyBorder="1" applyAlignment="1">
      <alignment horizontal="left" vertical="center"/>
    </xf>
    <xf numFmtId="1" fontId="3" fillId="5" borderId="22" xfId="0" applyNumberFormat="1" applyFont="1" applyFill="1" applyBorder="1" applyAlignment="1">
      <alignment horizontal="left" vertical="center"/>
    </xf>
    <xf numFmtId="164" fontId="3" fillId="5" borderId="14" xfId="0" applyNumberFormat="1" applyFont="1" applyFill="1" applyBorder="1" applyAlignment="1">
      <alignment horizontal="left" vertical="center"/>
    </xf>
    <xf numFmtId="164" fontId="3" fillId="5" borderId="17" xfId="0" applyNumberFormat="1" applyFont="1" applyFill="1" applyBorder="1" applyAlignment="1">
      <alignment horizontal="left" vertical="center"/>
    </xf>
    <xf numFmtId="164" fontId="3" fillId="5" borderId="15" xfId="0" applyNumberFormat="1" applyFont="1" applyFill="1" applyBorder="1" applyAlignment="1">
      <alignment horizontal="left" vertical="center"/>
    </xf>
    <xf numFmtId="164" fontId="3" fillId="5" borderId="24" xfId="0" applyNumberFormat="1" applyFont="1" applyFill="1" applyBorder="1" applyAlignment="1">
      <alignment horizontal="left" vertical="center"/>
    </xf>
    <xf numFmtId="164" fontId="3" fillId="5" borderId="25" xfId="0" applyNumberFormat="1" applyFont="1" applyFill="1" applyBorder="1" applyAlignment="1">
      <alignment horizontal="left" vertical="center"/>
    </xf>
    <xf numFmtId="164" fontId="3" fillId="5" borderId="31" xfId="0" applyNumberFormat="1" applyFont="1" applyFill="1" applyBorder="1" applyAlignment="1">
      <alignment horizontal="left" vertical="center"/>
    </xf>
    <xf numFmtId="164" fontId="3" fillId="5" borderId="26" xfId="0" applyNumberFormat="1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5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0" fillId="5" borderId="0" xfId="0" applyFill="1" applyBorder="1"/>
    <xf numFmtId="0" fontId="0" fillId="5" borderId="15" xfId="0" applyFill="1" applyBorder="1"/>
    <xf numFmtId="0" fontId="0" fillId="5" borderId="24" xfId="0" applyFill="1" applyBorder="1"/>
    <xf numFmtId="0" fontId="0" fillId="5" borderId="26" xfId="0" applyFill="1" applyBorder="1"/>
    <xf numFmtId="0" fontId="0" fillId="6" borderId="0" xfId="0" applyFill="1" applyBorder="1"/>
    <xf numFmtId="0" fontId="7" fillId="0" borderId="70" xfId="0" applyFont="1" applyBorder="1" applyAlignment="1">
      <alignment vertical="center" wrapText="1"/>
    </xf>
    <xf numFmtId="0" fontId="7" fillId="0" borderId="66" xfId="0" applyFont="1" applyBorder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3" fillId="0" borderId="42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5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3" fillId="0" borderId="60" xfId="0" applyFont="1" applyBorder="1" applyAlignment="1">
      <alignment horizontal="center" wrapText="1"/>
    </xf>
    <xf numFmtId="0" fontId="3" fillId="0" borderId="36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37" xfId="0" applyFont="1" applyBorder="1" applyAlignment="1">
      <alignment horizontal="center" wrapText="1"/>
    </xf>
    <xf numFmtId="0" fontId="3" fillId="0" borderId="38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0" borderId="12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3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3" xfId="0" applyFill="1" applyBorder="1"/>
    <xf numFmtId="0" fontId="0" fillId="0" borderId="33" xfId="0" applyFill="1" applyBorder="1"/>
    <xf numFmtId="0" fontId="1" fillId="0" borderId="13" xfId="0" applyFont="1" applyBorder="1"/>
    <xf numFmtId="0" fontId="1" fillId="0" borderId="13" xfId="0" applyFont="1" applyFill="1" applyBorder="1"/>
    <xf numFmtId="0" fontId="1" fillId="0" borderId="33" xfId="0" applyFont="1" applyFill="1" applyBorder="1"/>
    <xf numFmtId="0" fontId="0" fillId="0" borderId="0" xfId="0" applyBorder="1" applyAlignment="1"/>
    <xf numFmtId="0" fontId="1" fillId="0" borderId="2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0" fillId="0" borderId="16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10" fillId="0" borderId="32" xfId="0" applyFont="1" applyBorder="1" applyAlignment="1">
      <alignment horizontal="right"/>
    </xf>
    <xf numFmtId="0" fontId="1" fillId="0" borderId="71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4" xfId="0" applyBorder="1" applyAlignment="1">
      <alignment horizontal="center"/>
    </xf>
    <xf numFmtId="0" fontId="10" fillId="0" borderId="13" xfId="0" applyFont="1" applyFill="1" applyBorder="1" applyAlignment="1">
      <alignment horizontal="right"/>
    </xf>
    <xf numFmtId="0" fontId="10" fillId="0" borderId="33" xfId="0" applyFont="1" applyFill="1" applyBorder="1" applyAlignment="1">
      <alignment horizontal="right"/>
    </xf>
    <xf numFmtId="0" fontId="10" fillId="0" borderId="71" xfId="0" applyFont="1" applyFill="1" applyBorder="1" applyAlignment="1">
      <alignment horizontal="right"/>
    </xf>
    <xf numFmtId="0" fontId="1" fillId="0" borderId="18" xfId="0" applyFont="1" applyBorder="1" applyAlignment="1">
      <alignment vertical="center" wrapText="1"/>
    </xf>
    <xf numFmtId="0" fontId="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7" borderId="26" xfId="0" applyFont="1" applyFill="1" applyBorder="1" applyAlignment="1">
      <alignment vertical="center" wrapText="1"/>
    </xf>
    <xf numFmtId="0" fontId="1" fillId="7" borderId="0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5"/>
  <sheetViews>
    <sheetView tabSelected="1" zoomScale="90" zoomScaleNormal="90" workbookViewId="0">
      <selection activeCell="C20" sqref="C20"/>
    </sheetView>
  </sheetViews>
  <sheetFormatPr baseColWidth="10" defaultColWidth="8.83203125" defaultRowHeight="15" x14ac:dyDescent="0.2"/>
  <cols>
    <col min="2" max="2" width="26" bestFit="1" customWidth="1"/>
    <col min="3" max="3" width="62.83203125" bestFit="1" customWidth="1"/>
    <col min="4" max="4" width="9.6640625" style="243" bestFit="1" customWidth="1"/>
    <col min="5" max="5" width="22" style="240" bestFit="1" customWidth="1"/>
    <col min="6" max="6" width="190.83203125" bestFit="1" customWidth="1"/>
    <col min="7" max="7" width="46.83203125" bestFit="1" customWidth="1"/>
    <col min="8" max="8" width="60.33203125" bestFit="1" customWidth="1"/>
  </cols>
  <sheetData>
    <row r="2" spans="2:8" x14ac:dyDescent="0.2">
      <c r="B2" s="245" t="s">
        <v>295</v>
      </c>
      <c r="C2" s="245" t="s">
        <v>296</v>
      </c>
      <c r="D2" s="246" t="s">
        <v>615</v>
      </c>
      <c r="E2" s="247" t="s">
        <v>616</v>
      </c>
      <c r="F2" s="245" t="s">
        <v>774</v>
      </c>
      <c r="G2" s="1" t="s">
        <v>638</v>
      </c>
      <c r="H2" s="1" t="s">
        <v>639</v>
      </c>
    </row>
    <row r="3" spans="2:8" x14ac:dyDescent="0.2">
      <c r="B3" t="s">
        <v>0</v>
      </c>
      <c r="C3" t="s">
        <v>607</v>
      </c>
      <c r="D3" s="243" t="s">
        <v>617</v>
      </c>
      <c r="E3" s="240" t="s">
        <v>618</v>
      </c>
      <c r="G3" s="1" t="s">
        <v>620</v>
      </c>
      <c r="H3" t="s">
        <v>619</v>
      </c>
    </row>
    <row r="4" spans="2:8" x14ac:dyDescent="0.2">
      <c r="B4" t="s">
        <v>1</v>
      </c>
      <c r="C4" s="1" t="s">
        <v>608</v>
      </c>
      <c r="D4" s="242" t="s">
        <v>617</v>
      </c>
      <c r="E4" s="240" t="s">
        <v>618</v>
      </c>
      <c r="G4" s="1" t="s">
        <v>620</v>
      </c>
      <c r="H4" t="s">
        <v>619</v>
      </c>
    </row>
    <row r="5" spans="2:8" x14ac:dyDescent="0.2">
      <c r="B5" t="s">
        <v>2</v>
      </c>
      <c r="C5" t="s">
        <v>158</v>
      </c>
      <c r="D5" s="242" t="s">
        <v>617</v>
      </c>
      <c r="E5" s="240" t="s">
        <v>618</v>
      </c>
      <c r="G5" s="1" t="s">
        <v>620</v>
      </c>
      <c r="H5" t="s">
        <v>619</v>
      </c>
    </row>
    <row r="6" spans="2:8" x14ac:dyDescent="0.2">
      <c r="B6" t="s">
        <v>3</v>
      </c>
      <c r="C6" s="1" t="s">
        <v>609</v>
      </c>
      <c r="D6" s="242" t="s">
        <v>617</v>
      </c>
      <c r="E6" s="240" t="s">
        <v>618</v>
      </c>
      <c r="G6" s="1" t="s">
        <v>620</v>
      </c>
      <c r="H6" t="s">
        <v>619</v>
      </c>
    </row>
    <row r="7" spans="2:8" x14ac:dyDescent="0.2">
      <c r="B7" t="s">
        <v>4</v>
      </c>
      <c r="C7" s="1" t="s">
        <v>610</v>
      </c>
      <c r="D7" s="242" t="s">
        <v>617</v>
      </c>
      <c r="E7" s="240" t="s">
        <v>618</v>
      </c>
      <c r="G7" s="1" t="s">
        <v>620</v>
      </c>
      <c r="H7" t="s">
        <v>619</v>
      </c>
    </row>
    <row r="8" spans="2:8" x14ac:dyDescent="0.2">
      <c r="B8" t="s">
        <v>5</v>
      </c>
      <c r="C8" t="s">
        <v>621</v>
      </c>
      <c r="D8" s="242" t="s">
        <v>623</v>
      </c>
      <c r="E8" s="240" t="s">
        <v>618</v>
      </c>
      <c r="G8" s="1" t="s">
        <v>620</v>
      </c>
      <c r="H8" t="s">
        <v>619</v>
      </c>
    </row>
    <row r="9" spans="2:8" x14ac:dyDescent="0.2">
      <c r="B9" t="s">
        <v>6</v>
      </c>
      <c r="C9" t="s">
        <v>159</v>
      </c>
      <c r="D9" s="242" t="s">
        <v>617</v>
      </c>
      <c r="E9" s="240" t="s">
        <v>618</v>
      </c>
      <c r="G9" s="1" t="s">
        <v>620</v>
      </c>
      <c r="H9" t="s">
        <v>619</v>
      </c>
    </row>
    <row r="10" spans="2:8" x14ac:dyDescent="0.2">
      <c r="B10" t="s">
        <v>7</v>
      </c>
      <c r="C10" t="s">
        <v>7</v>
      </c>
      <c r="D10" s="242" t="s">
        <v>623</v>
      </c>
      <c r="E10" s="240" t="s">
        <v>618</v>
      </c>
      <c r="G10" s="1" t="s">
        <v>620</v>
      </c>
      <c r="H10" t="s">
        <v>619</v>
      </c>
    </row>
    <row r="11" spans="2:8" x14ac:dyDescent="0.2">
      <c r="B11" t="s">
        <v>8</v>
      </c>
      <c r="C11" t="s">
        <v>626</v>
      </c>
      <c r="D11" s="243" t="s">
        <v>623</v>
      </c>
      <c r="E11" s="240" t="s">
        <v>618</v>
      </c>
      <c r="G11" s="1" t="s">
        <v>620</v>
      </c>
      <c r="H11" t="s">
        <v>619</v>
      </c>
    </row>
    <row r="12" spans="2:8" x14ac:dyDescent="0.2">
      <c r="B12" t="s">
        <v>9</v>
      </c>
      <c r="C12" t="s">
        <v>9</v>
      </c>
      <c r="D12" s="242" t="s">
        <v>617</v>
      </c>
      <c r="E12" s="240" t="s">
        <v>618</v>
      </c>
      <c r="G12" s="1" t="s">
        <v>620</v>
      </c>
      <c r="H12" t="s">
        <v>619</v>
      </c>
    </row>
    <row r="13" spans="2:8" x14ac:dyDescent="0.2">
      <c r="B13" t="s">
        <v>10</v>
      </c>
      <c r="C13" t="s">
        <v>627</v>
      </c>
      <c r="D13" s="243" t="s">
        <v>623</v>
      </c>
      <c r="E13" s="240" t="s">
        <v>618</v>
      </c>
      <c r="G13" s="1" t="s">
        <v>620</v>
      </c>
      <c r="H13" t="s">
        <v>619</v>
      </c>
    </row>
    <row r="14" spans="2:8" x14ac:dyDescent="0.2">
      <c r="B14" t="s">
        <v>11</v>
      </c>
      <c r="C14" t="s">
        <v>628</v>
      </c>
      <c r="D14" s="243" t="s">
        <v>617</v>
      </c>
      <c r="E14" s="240" t="s">
        <v>618</v>
      </c>
      <c r="G14" s="1" t="s">
        <v>620</v>
      </c>
      <c r="H14" t="s">
        <v>619</v>
      </c>
    </row>
    <row r="15" spans="2:8" x14ac:dyDescent="0.2">
      <c r="B15" t="s">
        <v>12</v>
      </c>
      <c r="C15" s="1" t="s">
        <v>629</v>
      </c>
      <c r="D15" s="242" t="s">
        <v>617</v>
      </c>
      <c r="E15" s="241" t="s">
        <v>618</v>
      </c>
      <c r="G15" s="1" t="s">
        <v>620</v>
      </c>
      <c r="H15" t="s">
        <v>619</v>
      </c>
    </row>
    <row r="16" spans="2:8" x14ac:dyDescent="0.2">
      <c r="B16" t="s">
        <v>13</v>
      </c>
      <c r="C16" s="1" t="s">
        <v>630</v>
      </c>
      <c r="D16" s="242" t="s">
        <v>631</v>
      </c>
      <c r="E16" s="241" t="s">
        <v>618</v>
      </c>
      <c r="G16" s="1" t="s">
        <v>620</v>
      </c>
      <c r="H16" t="s">
        <v>619</v>
      </c>
    </row>
    <row r="17" spans="2:8" x14ac:dyDescent="0.2">
      <c r="B17" t="s">
        <v>14</v>
      </c>
      <c r="C17" s="1" t="s">
        <v>632</v>
      </c>
      <c r="D17" s="242" t="s">
        <v>617</v>
      </c>
      <c r="E17" s="241" t="s">
        <v>618</v>
      </c>
      <c r="G17" s="1" t="s">
        <v>620</v>
      </c>
      <c r="H17" t="s">
        <v>619</v>
      </c>
    </row>
    <row r="18" spans="2:8" x14ac:dyDescent="0.2">
      <c r="B18" t="s">
        <v>15</v>
      </c>
      <c r="C18" s="1" t="s">
        <v>633</v>
      </c>
      <c r="D18" s="242" t="s">
        <v>623</v>
      </c>
      <c r="E18" s="241" t="s">
        <v>618</v>
      </c>
      <c r="G18" s="1" t="s">
        <v>620</v>
      </c>
      <c r="H18" t="s">
        <v>619</v>
      </c>
    </row>
    <row r="19" spans="2:8" x14ac:dyDescent="0.2">
      <c r="B19" t="s">
        <v>16</v>
      </c>
      <c r="C19" t="s">
        <v>634</v>
      </c>
      <c r="D19" s="243" t="s">
        <v>623</v>
      </c>
      <c r="E19" s="240" t="s">
        <v>624</v>
      </c>
      <c r="F19" t="s">
        <v>635</v>
      </c>
      <c r="G19" s="1" t="s">
        <v>620</v>
      </c>
      <c r="H19" t="s">
        <v>619</v>
      </c>
    </row>
    <row r="20" spans="2:8" x14ac:dyDescent="0.2">
      <c r="B20" t="s">
        <v>17</v>
      </c>
      <c r="C20" t="s">
        <v>636</v>
      </c>
      <c r="D20" s="243" t="s">
        <v>623</v>
      </c>
      <c r="E20" s="240" t="s">
        <v>624</v>
      </c>
      <c r="F20" t="s">
        <v>637</v>
      </c>
      <c r="G20" s="1" t="s">
        <v>620</v>
      </c>
      <c r="H20" t="s">
        <v>619</v>
      </c>
    </row>
    <row r="21" spans="2:8" x14ac:dyDescent="0.2">
      <c r="B21" t="s">
        <v>18</v>
      </c>
      <c r="C21" t="s">
        <v>622</v>
      </c>
      <c r="D21" s="243" t="s">
        <v>623</v>
      </c>
      <c r="E21" s="240" t="s">
        <v>624</v>
      </c>
      <c r="F21" t="s">
        <v>625</v>
      </c>
      <c r="G21" s="1" t="s">
        <v>620</v>
      </c>
      <c r="H21" t="s">
        <v>619</v>
      </c>
    </row>
    <row r="22" spans="2:8" x14ac:dyDescent="0.2">
      <c r="B22" t="s">
        <v>19</v>
      </c>
      <c r="C22" t="s">
        <v>640</v>
      </c>
      <c r="D22" s="242" t="s">
        <v>623</v>
      </c>
      <c r="E22" s="240" t="s">
        <v>624</v>
      </c>
      <c r="F22" t="s">
        <v>382</v>
      </c>
      <c r="G22" s="1" t="s">
        <v>643</v>
      </c>
      <c r="H22" t="s">
        <v>644</v>
      </c>
    </row>
    <row r="23" spans="2:8" x14ac:dyDescent="0.2">
      <c r="B23" t="s">
        <v>20</v>
      </c>
      <c r="C23" t="s">
        <v>641</v>
      </c>
      <c r="D23" s="242" t="s">
        <v>623</v>
      </c>
      <c r="E23" s="240" t="s">
        <v>624</v>
      </c>
      <c r="F23" t="s">
        <v>382</v>
      </c>
      <c r="G23" s="1" t="s">
        <v>643</v>
      </c>
      <c r="H23" t="s">
        <v>644</v>
      </c>
    </row>
    <row r="24" spans="2:8" x14ac:dyDescent="0.2">
      <c r="B24" t="s">
        <v>21</v>
      </c>
      <c r="C24" t="s">
        <v>642</v>
      </c>
      <c r="D24" s="242" t="s">
        <v>623</v>
      </c>
      <c r="E24" s="240" t="s">
        <v>624</v>
      </c>
      <c r="F24" t="s">
        <v>382</v>
      </c>
      <c r="G24" s="1" t="s">
        <v>643</v>
      </c>
      <c r="H24" t="s">
        <v>644</v>
      </c>
    </row>
    <row r="25" spans="2:8" x14ac:dyDescent="0.2">
      <c r="B25" s="1" t="s">
        <v>22</v>
      </c>
      <c r="C25" t="s">
        <v>160</v>
      </c>
      <c r="D25" s="242" t="s">
        <v>623</v>
      </c>
      <c r="E25" s="240" t="s">
        <v>624</v>
      </c>
      <c r="F25" s="1" t="s">
        <v>646</v>
      </c>
      <c r="G25" s="1" t="s">
        <v>643</v>
      </c>
      <c r="H25" t="s">
        <v>644</v>
      </c>
    </row>
    <row r="26" spans="2:8" x14ac:dyDescent="0.2">
      <c r="B26" s="1" t="s">
        <v>23</v>
      </c>
      <c r="C26" t="s">
        <v>161</v>
      </c>
      <c r="D26" s="242" t="s">
        <v>623</v>
      </c>
      <c r="E26" s="240" t="s">
        <v>624</v>
      </c>
      <c r="F26" s="1" t="s">
        <v>646</v>
      </c>
      <c r="G26" s="1" t="s">
        <v>643</v>
      </c>
      <c r="H26" t="s">
        <v>644</v>
      </c>
    </row>
    <row r="27" spans="2:8" x14ac:dyDescent="0.2">
      <c r="B27" t="s">
        <v>24</v>
      </c>
      <c r="C27" t="s">
        <v>162</v>
      </c>
      <c r="D27" s="242" t="s">
        <v>623</v>
      </c>
      <c r="E27" s="240" t="s">
        <v>624</v>
      </c>
      <c r="F27" s="1" t="s">
        <v>646</v>
      </c>
      <c r="G27" s="1" t="s">
        <v>643</v>
      </c>
      <c r="H27" t="s">
        <v>644</v>
      </c>
    </row>
    <row r="28" spans="2:8" x14ac:dyDescent="0.2">
      <c r="B28" s="1" t="s">
        <v>25</v>
      </c>
      <c r="C28" t="s">
        <v>163</v>
      </c>
      <c r="D28" s="242" t="s">
        <v>623</v>
      </c>
      <c r="E28" s="240" t="s">
        <v>624</v>
      </c>
      <c r="F28" s="1" t="s">
        <v>647</v>
      </c>
      <c r="G28" s="1" t="s">
        <v>643</v>
      </c>
      <c r="H28" t="s">
        <v>644</v>
      </c>
    </row>
    <row r="29" spans="2:8" x14ac:dyDescent="0.2">
      <c r="B29" t="s">
        <v>26</v>
      </c>
      <c r="C29" t="s">
        <v>164</v>
      </c>
      <c r="D29" s="242" t="s">
        <v>623</v>
      </c>
      <c r="E29" s="240" t="s">
        <v>624</v>
      </c>
      <c r="F29" s="1" t="s">
        <v>647</v>
      </c>
      <c r="G29" s="1" t="s">
        <v>643</v>
      </c>
      <c r="H29" t="s">
        <v>644</v>
      </c>
    </row>
    <row r="30" spans="2:8" x14ac:dyDescent="0.2">
      <c r="B30" t="s">
        <v>27</v>
      </c>
      <c r="C30" t="s">
        <v>165</v>
      </c>
      <c r="D30" s="242" t="s">
        <v>623</v>
      </c>
      <c r="E30" s="240" t="s">
        <v>624</v>
      </c>
      <c r="F30" s="1" t="s">
        <v>647</v>
      </c>
      <c r="G30" s="1" t="s">
        <v>643</v>
      </c>
      <c r="H30" t="s">
        <v>644</v>
      </c>
    </row>
    <row r="31" spans="2:8" x14ac:dyDescent="0.2">
      <c r="B31" t="s">
        <v>28</v>
      </c>
      <c r="C31" t="s">
        <v>166</v>
      </c>
      <c r="D31" s="242" t="s">
        <v>623</v>
      </c>
      <c r="E31" s="240" t="s">
        <v>624</v>
      </c>
      <c r="F31" s="1" t="s">
        <v>648</v>
      </c>
      <c r="G31" s="1" t="s">
        <v>643</v>
      </c>
      <c r="H31" t="s">
        <v>644</v>
      </c>
    </row>
    <row r="32" spans="2:8" x14ac:dyDescent="0.2">
      <c r="B32" t="s">
        <v>29</v>
      </c>
      <c r="C32" t="s">
        <v>167</v>
      </c>
      <c r="D32" s="242" t="s">
        <v>623</v>
      </c>
      <c r="E32" s="240" t="s">
        <v>624</v>
      </c>
      <c r="F32" s="1" t="s">
        <v>649</v>
      </c>
      <c r="G32" s="1" t="s">
        <v>643</v>
      </c>
      <c r="H32" t="s">
        <v>644</v>
      </c>
    </row>
    <row r="33" spans="2:8" x14ac:dyDescent="0.2">
      <c r="B33" t="s">
        <v>30</v>
      </c>
      <c r="C33" t="s">
        <v>168</v>
      </c>
      <c r="D33" s="242" t="s">
        <v>623</v>
      </c>
      <c r="E33" s="240" t="s">
        <v>624</v>
      </c>
      <c r="F33" s="1" t="s">
        <v>650</v>
      </c>
      <c r="G33" s="1" t="s">
        <v>643</v>
      </c>
      <c r="H33" t="s">
        <v>644</v>
      </c>
    </row>
    <row r="34" spans="2:8" x14ac:dyDescent="0.2">
      <c r="B34" t="s">
        <v>31</v>
      </c>
      <c r="C34" t="s">
        <v>169</v>
      </c>
      <c r="D34" s="242" t="s">
        <v>623</v>
      </c>
      <c r="E34" s="240" t="s">
        <v>624</v>
      </c>
      <c r="F34" s="1" t="s">
        <v>740</v>
      </c>
      <c r="G34" s="1" t="s">
        <v>643</v>
      </c>
      <c r="H34" t="s">
        <v>644</v>
      </c>
    </row>
    <row r="35" spans="2:8" x14ac:dyDescent="0.2">
      <c r="B35" t="s">
        <v>32</v>
      </c>
      <c r="C35" t="s">
        <v>170</v>
      </c>
      <c r="D35" s="242" t="s">
        <v>623</v>
      </c>
      <c r="E35" s="240" t="s">
        <v>624</v>
      </c>
      <c r="F35" s="1" t="s">
        <v>741</v>
      </c>
      <c r="G35" s="1" t="s">
        <v>643</v>
      </c>
      <c r="H35" t="s">
        <v>644</v>
      </c>
    </row>
    <row r="36" spans="2:8" x14ac:dyDescent="0.2">
      <c r="B36" t="s">
        <v>33</v>
      </c>
      <c r="C36" t="s">
        <v>171</v>
      </c>
      <c r="D36" s="242" t="s">
        <v>623</v>
      </c>
      <c r="E36" s="240" t="s">
        <v>624</v>
      </c>
      <c r="F36" s="1" t="s">
        <v>742</v>
      </c>
      <c r="G36" s="1" t="s">
        <v>643</v>
      </c>
      <c r="H36" t="s">
        <v>644</v>
      </c>
    </row>
    <row r="37" spans="2:8" x14ac:dyDescent="0.2">
      <c r="B37" t="s">
        <v>34</v>
      </c>
      <c r="C37" t="s">
        <v>172</v>
      </c>
      <c r="D37" s="242" t="s">
        <v>623</v>
      </c>
      <c r="E37" s="240" t="s">
        <v>624</v>
      </c>
      <c r="F37" s="1" t="s">
        <v>743</v>
      </c>
      <c r="G37" s="1" t="s">
        <v>643</v>
      </c>
      <c r="H37" t="s">
        <v>644</v>
      </c>
    </row>
    <row r="38" spans="2:8" x14ac:dyDescent="0.2">
      <c r="B38" t="s">
        <v>35</v>
      </c>
      <c r="C38" t="s">
        <v>173</v>
      </c>
      <c r="D38" s="242" t="s">
        <v>623</v>
      </c>
      <c r="E38" s="240" t="s">
        <v>624</v>
      </c>
      <c r="F38" s="1" t="s">
        <v>744</v>
      </c>
      <c r="G38" s="1" t="s">
        <v>643</v>
      </c>
      <c r="H38" t="s">
        <v>644</v>
      </c>
    </row>
    <row r="39" spans="2:8" x14ac:dyDescent="0.2">
      <c r="B39" t="s">
        <v>36</v>
      </c>
      <c r="C39" t="s">
        <v>174</v>
      </c>
      <c r="D39" s="242" t="s">
        <v>623</v>
      </c>
      <c r="E39" s="240" t="s">
        <v>624</v>
      </c>
      <c r="F39" s="1" t="s">
        <v>745</v>
      </c>
      <c r="G39" s="1" t="s">
        <v>643</v>
      </c>
      <c r="H39" t="s">
        <v>644</v>
      </c>
    </row>
    <row r="40" spans="2:8" x14ac:dyDescent="0.2">
      <c r="B40" t="s">
        <v>37</v>
      </c>
      <c r="C40" t="s">
        <v>175</v>
      </c>
      <c r="D40" s="242" t="s">
        <v>623</v>
      </c>
      <c r="E40" s="240" t="s">
        <v>624</v>
      </c>
      <c r="F40" s="1" t="s">
        <v>746</v>
      </c>
      <c r="G40" s="1" t="s">
        <v>643</v>
      </c>
      <c r="H40" t="s">
        <v>644</v>
      </c>
    </row>
    <row r="41" spans="2:8" x14ac:dyDescent="0.2">
      <c r="B41" t="s">
        <v>38</v>
      </c>
      <c r="C41" t="s">
        <v>176</v>
      </c>
      <c r="D41" s="242" t="s">
        <v>623</v>
      </c>
      <c r="E41" s="240" t="s">
        <v>624</v>
      </c>
      <c r="F41" s="1" t="s">
        <v>747</v>
      </c>
      <c r="G41" s="1" t="s">
        <v>643</v>
      </c>
      <c r="H41" t="s">
        <v>644</v>
      </c>
    </row>
    <row r="42" spans="2:8" x14ac:dyDescent="0.2">
      <c r="B42" t="s">
        <v>39</v>
      </c>
      <c r="C42" t="s">
        <v>177</v>
      </c>
      <c r="D42" s="242" t="s">
        <v>623</v>
      </c>
      <c r="E42" s="240" t="s">
        <v>624</v>
      </c>
      <c r="F42" s="1" t="s">
        <v>748</v>
      </c>
      <c r="G42" s="1" t="s">
        <v>643</v>
      </c>
      <c r="H42" t="s">
        <v>644</v>
      </c>
    </row>
    <row r="43" spans="2:8" x14ac:dyDescent="0.2">
      <c r="B43" t="s">
        <v>40</v>
      </c>
      <c r="C43" t="s">
        <v>178</v>
      </c>
      <c r="D43" s="242" t="s">
        <v>623</v>
      </c>
      <c r="E43" s="240" t="s">
        <v>624</v>
      </c>
      <c r="F43" s="1" t="s">
        <v>749</v>
      </c>
      <c r="G43" s="1" t="s">
        <v>643</v>
      </c>
      <c r="H43" t="s">
        <v>644</v>
      </c>
    </row>
    <row r="44" spans="2:8" x14ac:dyDescent="0.2">
      <c r="B44" t="s">
        <v>41</v>
      </c>
      <c r="C44" t="s">
        <v>179</v>
      </c>
      <c r="D44" s="242" t="s">
        <v>631</v>
      </c>
      <c r="E44" s="241" t="s">
        <v>618</v>
      </c>
      <c r="F44" t="s">
        <v>379</v>
      </c>
      <c r="G44" s="1" t="s">
        <v>657</v>
      </c>
      <c r="H44" t="s">
        <v>651</v>
      </c>
    </row>
    <row r="45" spans="2:8" x14ac:dyDescent="0.2">
      <c r="B45" t="s">
        <v>42</v>
      </c>
      <c r="C45" t="s">
        <v>180</v>
      </c>
      <c r="D45" s="242" t="s">
        <v>631</v>
      </c>
      <c r="E45" s="240" t="s">
        <v>618</v>
      </c>
      <c r="G45" t="s">
        <v>655</v>
      </c>
      <c r="H45" t="s">
        <v>656</v>
      </c>
    </row>
    <row r="46" spans="2:8" x14ac:dyDescent="0.2">
      <c r="B46" t="s">
        <v>43</v>
      </c>
      <c r="C46" t="s">
        <v>181</v>
      </c>
      <c r="D46" s="243" t="s">
        <v>631</v>
      </c>
      <c r="E46" s="240" t="s">
        <v>618</v>
      </c>
      <c r="G46" t="s">
        <v>655</v>
      </c>
      <c r="H46" t="s">
        <v>656</v>
      </c>
    </row>
    <row r="47" spans="2:8" x14ac:dyDescent="0.2">
      <c r="B47" t="s">
        <v>44</v>
      </c>
      <c r="C47" t="s">
        <v>182</v>
      </c>
      <c r="D47" s="243" t="s">
        <v>617</v>
      </c>
      <c r="E47" s="240" t="s">
        <v>624</v>
      </c>
      <c r="F47" t="s">
        <v>652</v>
      </c>
      <c r="G47" t="s">
        <v>655</v>
      </c>
      <c r="H47" t="s">
        <v>656</v>
      </c>
    </row>
    <row r="48" spans="2:8" x14ac:dyDescent="0.2">
      <c r="B48" t="s">
        <v>45</v>
      </c>
      <c r="C48" t="s">
        <v>183</v>
      </c>
      <c r="D48" s="243" t="s">
        <v>617</v>
      </c>
      <c r="E48" s="240" t="s">
        <v>624</v>
      </c>
      <c r="F48" t="s">
        <v>653</v>
      </c>
      <c r="G48" t="s">
        <v>655</v>
      </c>
      <c r="H48" t="s">
        <v>656</v>
      </c>
    </row>
    <row r="49" spans="2:8" x14ac:dyDescent="0.2">
      <c r="B49" t="s">
        <v>46</v>
      </c>
      <c r="C49" t="s">
        <v>184</v>
      </c>
      <c r="D49" s="243" t="s">
        <v>617</v>
      </c>
      <c r="E49" s="240" t="s">
        <v>624</v>
      </c>
      <c r="F49" t="s">
        <v>654</v>
      </c>
      <c r="G49" t="s">
        <v>655</v>
      </c>
      <c r="H49" t="s">
        <v>656</v>
      </c>
    </row>
    <row r="50" spans="2:8" x14ac:dyDescent="0.2">
      <c r="B50" t="s">
        <v>47</v>
      </c>
      <c r="C50" t="s">
        <v>185</v>
      </c>
      <c r="D50" s="243" t="s">
        <v>623</v>
      </c>
      <c r="E50" s="240" t="s">
        <v>618</v>
      </c>
      <c r="G50" t="s">
        <v>655</v>
      </c>
      <c r="H50" t="s">
        <v>656</v>
      </c>
    </row>
    <row r="51" spans="2:8" x14ac:dyDescent="0.2">
      <c r="B51" t="s">
        <v>48</v>
      </c>
      <c r="C51" t="s">
        <v>186</v>
      </c>
      <c r="D51" s="243" t="s">
        <v>623</v>
      </c>
      <c r="E51" s="240" t="s">
        <v>618</v>
      </c>
      <c r="G51" t="s">
        <v>655</v>
      </c>
      <c r="H51" t="s">
        <v>656</v>
      </c>
    </row>
    <row r="52" spans="2:8" x14ac:dyDescent="0.2">
      <c r="B52" t="s">
        <v>49</v>
      </c>
      <c r="C52" t="s">
        <v>187</v>
      </c>
      <c r="D52" s="242" t="s">
        <v>631</v>
      </c>
      <c r="E52" s="244" t="s">
        <v>618</v>
      </c>
      <c r="F52" s="1" t="s">
        <v>727</v>
      </c>
      <c r="G52" t="s">
        <v>731</v>
      </c>
      <c r="H52" t="s">
        <v>732</v>
      </c>
    </row>
    <row r="53" spans="2:8" x14ac:dyDescent="0.2">
      <c r="B53" t="s">
        <v>50</v>
      </c>
      <c r="C53" t="s">
        <v>188</v>
      </c>
      <c r="D53" s="242" t="s">
        <v>631</v>
      </c>
      <c r="E53" s="244" t="s">
        <v>618</v>
      </c>
      <c r="F53" s="1" t="s">
        <v>728</v>
      </c>
      <c r="G53" t="s">
        <v>731</v>
      </c>
      <c r="H53" t="s">
        <v>732</v>
      </c>
    </row>
    <row r="54" spans="2:8" x14ac:dyDescent="0.2">
      <c r="B54" t="s">
        <v>51</v>
      </c>
      <c r="C54" t="s">
        <v>189</v>
      </c>
      <c r="D54" s="242" t="s">
        <v>631</v>
      </c>
      <c r="E54" s="244" t="s">
        <v>618</v>
      </c>
      <c r="F54" s="1" t="s">
        <v>729</v>
      </c>
      <c r="G54" t="s">
        <v>731</v>
      </c>
      <c r="H54" t="s">
        <v>732</v>
      </c>
    </row>
    <row r="55" spans="2:8" x14ac:dyDescent="0.2">
      <c r="B55" t="s">
        <v>52</v>
      </c>
      <c r="C55" t="s">
        <v>190</v>
      </c>
      <c r="D55" s="242" t="s">
        <v>631</v>
      </c>
      <c r="E55" s="244" t="s">
        <v>624</v>
      </c>
      <c r="F55" s="1" t="s">
        <v>730</v>
      </c>
      <c r="G55" t="s">
        <v>731</v>
      </c>
      <c r="H55" t="s">
        <v>732</v>
      </c>
    </row>
    <row r="56" spans="2:8" x14ac:dyDescent="0.2">
      <c r="B56" t="s">
        <v>53</v>
      </c>
      <c r="C56" t="s">
        <v>191</v>
      </c>
      <c r="D56" s="243" t="s">
        <v>631</v>
      </c>
      <c r="E56" s="240" t="s">
        <v>624</v>
      </c>
      <c r="F56" t="s">
        <v>737</v>
      </c>
      <c r="G56" s="1" t="s">
        <v>734</v>
      </c>
      <c r="H56" s="1" t="s">
        <v>735</v>
      </c>
    </row>
    <row r="57" spans="2:8" x14ac:dyDescent="0.2">
      <c r="B57" t="s">
        <v>54</v>
      </c>
      <c r="C57" t="s">
        <v>192</v>
      </c>
      <c r="D57" s="243" t="s">
        <v>631</v>
      </c>
      <c r="E57" s="240" t="s">
        <v>624</v>
      </c>
      <c r="F57" t="s">
        <v>737</v>
      </c>
      <c r="G57" s="1" t="s">
        <v>734</v>
      </c>
      <c r="H57" s="1" t="s">
        <v>735</v>
      </c>
    </row>
    <row r="58" spans="2:8" x14ac:dyDescent="0.2">
      <c r="B58" t="s">
        <v>55</v>
      </c>
      <c r="C58" t="s">
        <v>193</v>
      </c>
      <c r="D58" s="243" t="s">
        <v>631</v>
      </c>
      <c r="E58" s="240" t="s">
        <v>624</v>
      </c>
      <c r="F58" t="s">
        <v>737</v>
      </c>
      <c r="G58" s="1" t="s">
        <v>734</v>
      </c>
      <c r="H58" s="1" t="s">
        <v>735</v>
      </c>
    </row>
    <row r="59" spans="2:8" x14ac:dyDescent="0.2">
      <c r="B59" t="s">
        <v>56</v>
      </c>
      <c r="C59" t="s">
        <v>194</v>
      </c>
      <c r="D59" s="243" t="s">
        <v>631</v>
      </c>
      <c r="E59" s="240" t="s">
        <v>618</v>
      </c>
      <c r="F59" t="s">
        <v>737</v>
      </c>
      <c r="G59" s="1" t="s">
        <v>734</v>
      </c>
      <c r="H59" s="1" t="s">
        <v>735</v>
      </c>
    </row>
    <row r="60" spans="2:8" x14ac:dyDescent="0.2">
      <c r="B60" t="s">
        <v>57</v>
      </c>
      <c r="C60" t="s">
        <v>195</v>
      </c>
      <c r="D60" s="242" t="s">
        <v>631</v>
      </c>
      <c r="E60" s="244" t="s">
        <v>618</v>
      </c>
      <c r="F60" s="1" t="s">
        <v>727</v>
      </c>
      <c r="G60" t="s">
        <v>731</v>
      </c>
      <c r="H60" t="s">
        <v>732</v>
      </c>
    </row>
    <row r="61" spans="2:8" x14ac:dyDescent="0.2">
      <c r="B61" t="s">
        <v>58</v>
      </c>
      <c r="C61" t="s">
        <v>196</v>
      </c>
      <c r="D61" s="242" t="s">
        <v>631</v>
      </c>
      <c r="E61" s="244" t="s">
        <v>618</v>
      </c>
      <c r="F61" s="1" t="s">
        <v>728</v>
      </c>
      <c r="G61" t="s">
        <v>731</v>
      </c>
      <c r="H61" t="s">
        <v>732</v>
      </c>
    </row>
    <row r="62" spans="2:8" x14ac:dyDescent="0.2">
      <c r="B62" t="s">
        <v>59</v>
      </c>
      <c r="C62" t="s">
        <v>197</v>
      </c>
      <c r="D62" s="242" t="s">
        <v>631</v>
      </c>
      <c r="E62" s="244" t="s">
        <v>618</v>
      </c>
      <c r="F62" s="1" t="s">
        <v>729</v>
      </c>
      <c r="G62" t="s">
        <v>731</v>
      </c>
      <c r="H62" t="s">
        <v>732</v>
      </c>
    </row>
    <row r="63" spans="2:8" x14ac:dyDescent="0.2">
      <c r="B63" t="s">
        <v>60</v>
      </c>
      <c r="C63" t="s">
        <v>198</v>
      </c>
      <c r="D63" s="242" t="s">
        <v>631</v>
      </c>
      <c r="E63" s="244" t="s">
        <v>624</v>
      </c>
      <c r="F63" s="1" t="s">
        <v>730</v>
      </c>
      <c r="G63" t="s">
        <v>731</v>
      </c>
      <c r="H63" t="s">
        <v>732</v>
      </c>
    </row>
    <row r="64" spans="2:8" x14ac:dyDescent="0.2">
      <c r="B64" t="s">
        <v>61</v>
      </c>
      <c r="C64" t="s">
        <v>199</v>
      </c>
      <c r="D64" s="243" t="s">
        <v>631</v>
      </c>
      <c r="E64" s="240" t="s">
        <v>618</v>
      </c>
      <c r="F64" t="s">
        <v>733</v>
      </c>
      <c r="G64" s="1" t="s">
        <v>734</v>
      </c>
      <c r="H64" s="1" t="s">
        <v>735</v>
      </c>
    </row>
    <row r="65" spans="2:8" x14ac:dyDescent="0.2">
      <c r="B65" t="s">
        <v>62</v>
      </c>
      <c r="C65" t="s">
        <v>200</v>
      </c>
      <c r="D65" s="243" t="s">
        <v>631</v>
      </c>
      <c r="E65" s="240" t="s">
        <v>624</v>
      </c>
      <c r="F65" t="s">
        <v>738</v>
      </c>
      <c r="G65" s="1" t="s">
        <v>734</v>
      </c>
      <c r="H65" s="1" t="s">
        <v>735</v>
      </c>
    </row>
    <row r="66" spans="2:8" x14ac:dyDescent="0.2">
      <c r="B66" t="s">
        <v>63</v>
      </c>
      <c r="C66" t="s">
        <v>201</v>
      </c>
      <c r="D66" s="243" t="s">
        <v>631</v>
      </c>
      <c r="E66" s="240" t="s">
        <v>624</v>
      </c>
      <c r="F66" t="s">
        <v>736</v>
      </c>
      <c r="G66" s="1" t="s">
        <v>734</v>
      </c>
      <c r="H66" s="1" t="s">
        <v>735</v>
      </c>
    </row>
    <row r="67" spans="2:8" x14ac:dyDescent="0.2">
      <c r="B67" t="s">
        <v>64</v>
      </c>
      <c r="C67" t="s">
        <v>202</v>
      </c>
      <c r="D67" s="243" t="s">
        <v>631</v>
      </c>
      <c r="E67" s="240" t="s">
        <v>624</v>
      </c>
      <c r="F67" t="s">
        <v>739</v>
      </c>
      <c r="G67" s="1" t="s">
        <v>734</v>
      </c>
      <c r="H67" s="1" t="s">
        <v>735</v>
      </c>
    </row>
    <row r="68" spans="2:8" x14ac:dyDescent="0.2">
      <c r="B68" t="s">
        <v>65</v>
      </c>
      <c r="C68" t="s">
        <v>203</v>
      </c>
      <c r="D68" s="243" t="s">
        <v>631</v>
      </c>
      <c r="E68" s="240" t="s">
        <v>618</v>
      </c>
      <c r="G68" t="s">
        <v>710</v>
      </c>
      <c r="H68" t="s">
        <v>709</v>
      </c>
    </row>
    <row r="69" spans="2:8" x14ac:dyDescent="0.2">
      <c r="B69" t="s">
        <v>66</v>
      </c>
      <c r="C69" t="s">
        <v>204</v>
      </c>
      <c r="D69" s="243" t="s">
        <v>631</v>
      </c>
      <c r="E69" s="240" t="s">
        <v>624</v>
      </c>
      <c r="F69" t="s">
        <v>707</v>
      </c>
      <c r="G69" t="s">
        <v>710</v>
      </c>
      <c r="H69" t="s">
        <v>709</v>
      </c>
    </row>
    <row r="70" spans="2:8" x14ac:dyDescent="0.2">
      <c r="B70" t="s">
        <v>67</v>
      </c>
      <c r="C70" t="s">
        <v>205</v>
      </c>
      <c r="D70" s="243" t="s">
        <v>631</v>
      </c>
      <c r="E70" s="240" t="s">
        <v>624</v>
      </c>
      <c r="F70" t="s">
        <v>706</v>
      </c>
      <c r="G70" t="s">
        <v>710</v>
      </c>
      <c r="H70" t="s">
        <v>709</v>
      </c>
    </row>
    <row r="71" spans="2:8" x14ac:dyDescent="0.2">
      <c r="B71" t="s">
        <v>68</v>
      </c>
      <c r="C71" t="s">
        <v>206</v>
      </c>
      <c r="D71" s="243" t="s">
        <v>631</v>
      </c>
      <c r="E71" s="240" t="s">
        <v>624</v>
      </c>
      <c r="F71" t="s">
        <v>708</v>
      </c>
      <c r="G71" t="s">
        <v>710</v>
      </c>
      <c r="H71" t="s">
        <v>709</v>
      </c>
    </row>
    <row r="72" spans="2:8" x14ac:dyDescent="0.2">
      <c r="B72" t="s">
        <v>69</v>
      </c>
      <c r="C72" t="s">
        <v>207</v>
      </c>
      <c r="D72" s="243" t="s">
        <v>631</v>
      </c>
      <c r="E72" s="240" t="s">
        <v>618</v>
      </c>
      <c r="G72" t="s">
        <v>710</v>
      </c>
      <c r="H72" t="s">
        <v>709</v>
      </c>
    </row>
    <row r="73" spans="2:8" x14ac:dyDescent="0.2">
      <c r="B73" t="s">
        <v>70</v>
      </c>
      <c r="C73" t="s">
        <v>208</v>
      </c>
      <c r="D73" s="243" t="s">
        <v>631</v>
      </c>
      <c r="E73" s="240" t="s">
        <v>624</v>
      </c>
      <c r="F73" t="s">
        <v>707</v>
      </c>
      <c r="G73" t="s">
        <v>710</v>
      </c>
      <c r="H73" t="s">
        <v>709</v>
      </c>
    </row>
    <row r="74" spans="2:8" x14ac:dyDescent="0.2">
      <c r="B74" t="s">
        <v>71</v>
      </c>
      <c r="C74" t="s">
        <v>209</v>
      </c>
      <c r="D74" s="243" t="s">
        <v>631</v>
      </c>
      <c r="E74" s="240" t="s">
        <v>624</v>
      </c>
      <c r="F74" t="s">
        <v>706</v>
      </c>
      <c r="G74" t="s">
        <v>710</v>
      </c>
      <c r="H74" t="s">
        <v>709</v>
      </c>
    </row>
    <row r="75" spans="2:8" x14ac:dyDescent="0.2">
      <c r="B75" t="s">
        <v>72</v>
      </c>
      <c r="C75" t="s">
        <v>210</v>
      </c>
      <c r="D75" s="243" t="s">
        <v>631</v>
      </c>
      <c r="E75" s="240" t="s">
        <v>624</v>
      </c>
      <c r="F75" t="s">
        <v>708</v>
      </c>
      <c r="G75" t="s">
        <v>710</v>
      </c>
      <c r="H75" t="s">
        <v>709</v>
      </c>
    </row>
    <row r="76" spans="2:8" x14ac:dyDescent="0.2">
      <c r="B76" t="s">
        <v>73</v>
      </c>
      <c r="C76" t="s">
        <v>211</v>
      </c>
      <c r="D76" s="243" t="s">
        <v>631</v>
      </c>
      <c r="E76" s="240" t="s">
        <v>618</v>
      </c>
      <c r="G76" t="s">
        <v>710</v>
      </c>
      <c r="H76" t="s">
        <v>709</v>
      </c>
    </row>
    <row r="77" spans="2:8" x14ac:dyDescent="0.2">
      <c r="B77" t="s">
        <v>74</v>
      </c>
      <c r="C77" t="s">
        <v>212</v>
      </c>
      <c r="D77" s="243" t="s">
        <v>631</v>
      </c>
      <c r="E77" s="240" t="s">
        <v>624</v>
      </c>
      <c r="F77" t="s">
        <v>707</v>
      </c>
      <c r="G77" t="s">
        <v>710</v>
      </c>
      <c r="H77" t="s">
        <v>709</v>
      </c>
    </row>
    <row r="78" spans="2:8" x14ac:dyDescent="0.2">
      <c r="B78" t="s">
        <v>75</v>
      </c>
      <c r="C78" t="s">
        <v>213</v>
      </c>
      <c r="D78" s="243" t="s">
        <v>631</v>
      </c>
      <c r="E78" s="240" t="s">
        <v>624</v>
      </c>
      <c r="F78" t="s">
        <v>706</v>
      </c>
      <c r="G78" t="s">
        <v>710</v>
      </c>
      <c r="H78" t="s">
        <v>709</v>
      </c>
    </row>
    <row r="79" spans="2:8" x14ac:dyDescent="0.2">
      <c r="B79" t="s">
        <v>76</v>
      </c>
      <c r="C79" t="s">
        <v>214</v>
      </c>
      <c r="D79" s="243" t="s">
        <v>631</v>
      </c>
      <c r="E79" s="240" t="s">
        <v>624</v>
      </c>
      <c r="F79" t="s">
        <v>708</v>
      </c>
      <c r="G79" t="s">
        <v>710</v>
      </c>
      <c r="H79" t="s">
        <v>709</v>
      </c>
    </row>
    <row r="80" spans="2:8" x14ac:dyDescent="0.2">
      <c r="B80" t="s">
        <v>77</v>
      </c>
      <c r="C80" t="s">
        <v>215</v>
      </c>
      <c r="D80" s="243" t="s">
        <v>631</v>
      </c>
      <c r="E80" s="240" t="s">
        <v>618</v>
      </c>
      <c r="G80" t="s">
        <v>710</v>
      </c>
      <c r="H80" t="s">
        <v>709</v>
      </c>
    </row>
    <row r="81" spans="2:8" x14ac:dyDescent="0.2">
      <c r="B81" t="s">
        <v>78</v>
      </c>
      <c r="C81" t="s">
        <v>216</v>
      </c>
      <c r="D81" s="243" t="s">
        <v>631</v>
      </c>
      <c r="E81" s="240" t="s">
        <v>624</v>
      </c>
      <c r="F81" t="s">
        <v>707</v>
      </c>
      <c r="G81" t="s">
        <v>710</v>
      </c>
      <c r="H81" t="s">
        <v>709</v>
      </c>
    </row>
    <row r="82" spans="2:8" x14ac:dyDescent="0.2">
      <c r="B82" t="s">
        <v>79</v>
      </c>
      <c r="C82" t="s">
        <v>217</v>
      </c>
      <c r="D82" s="243" t="s">
        <v>631</v>
      </c>
      <c r="E82" s="240" t="s">
        <v>624</v>
      </c>
      <c r="F82" t="s">
        <v>706</v>
      </c>
      <c r="G82" t="s">
        <v>710</v>
      </c>
      <c r="H82" t="s">
        <v>709</v>
      </c>
    </row>
    <row r="83" spans="2:8" x14ac:dyDescent="0.2">
      <c r="B83" t="s">
        <v>80</v>
      </c>
      <c r="C83" t="s">
        <v>218</v>
      </c>
      <c r="D83" s="243" t="s">
        <v>631</v>
      </c>
      <c r="E83" s="240" t="s">
        <v>624</v>
      </c>
      <c r="F83" t="s">
        <v>708</v>
      </c>
      <c r="G83" t="s">
        <v>710</v>
      </c>
      <c r="H83" t="s">
        <v>709</v>
      </c>
    </row>
    <row r="84" spans="2:8" x14ac:dyDescent="0.2">
      <c r="B84" t="s">
        <v>81</v>
      </c>
      <c r="C84" t="s">
        <v>219</v>
      </c>
      <c r="D84" s="242" t="s">
        <v>623</v>
      </c>
      <c r="E84" s="241" t="s">
        <v>624</v>
      </c>
      <c r="F84" s="1" t="s">
        <v>711</v>
      </c>
      <c r="G84" t="s">
        <v>710</v>
      </c>
      <c r="H84" t="s">
        <v>709</v>
      </c>
    </row>
    <row r="85" spans="2:8" x14ac:dyDescent="0.2">
      <c r="B85" t="s">
        <v>82</v>
      </c>
      <c r="C85" t="s">
        <v>220</v>
      </c>
      <c r="D85" s="242" t="s">
        <v>623</v>
      </c>
      <c r="E85" s="241" t="s">
        <v>624</v>
      </c>
      <c r="F85" s="1" t="s">
        <v>712</v>
      </c>
      <c r="G85" t="s">
        <v>710</v>
      </c>
      <c r="H85" t="s">
        <v>709</v>
      </c>
    </row>
    <row r="86" spans="2:8" x14ac:dyDescent="0.2">
      <c r="B86" t="s">
        <v>83</v>
      </c>
      <c r="C86" t="s">
        <v>221</v>
      </c>
      <c r="D86" s="242" t="s">
        <v>623</v>
      </c>
      <c r="E86" s="241" t="s">
        <v>624</v>
      </c>
      <c r="F86" s="1" t="s">
        <v>713</v>
      </c>
      <c r="G86" t="s">
        <v>710</v>
      </c>
      <c r="H86" t="s">
        <v>709</v>
      </c>
    </row>
    <row r="87" spans="2:8" x14ac:dyDescent="0.2">
      <c r="B87" t="s">
        <v>84</v>
      </c>
      <c r="C87" t="s">
        <v>222</v>
      </c>
      <c r="D87" s="243" t="s">
        <v>631</v>
      </c>
      <c r="E87" s="240" t="s">
        <v>618</v>
      </c>
      <c r="F87" s="1" t="s">
        <v>664</v>
      </c>
      <c r="G87" t="s">
        <v>666</v>
      </c>
      <c r="H87" t="s">
        <v>667</v>
      </c>
    </row>
    <row r="88" spans="2:8" x14ac:dyDescent="0.2">
      <c r="B88" t="s">
        <v>85</v>
      </c>
      <c r="C88" t="s">
        <v>223</v>
      </c>
      <c r="D88" s="243" t="s">
        <v>623</v>
      </c>
      <c r="E88" s="240" t="s">
        <v>618</v>
      </c>
      <c r="F88" s="1" t="s">
        <v>665</v>
      </c>
      <c r="G88" t="s">
        <v>666</v>
      </c>
      <c r="H88" t="s">
        <v>667</v>
      </c>
    </row>
    <row r="89" spans="2:8" x14ac:dyDescent="0.2">
      <c r="B89" t="s">
        <v>86</v>
      </c>
      <c r="C89" t="s">
        <v>224</v>
      </c>
      <c r="D89" s="243" t="s">
        <v>623</v>
      </c>
      <c r="E89" s="240" t="s">
        <v>618</v>
      </c>
      <c r="F89" s="1" t="s">
        <v>661</v>
      </c>
      <c r="G89" t="s">
        <v>666</v>
      </c>
      <c r="H89" t="s">
        <v>667</v>
      </c>
    </row>
    <row r="90" spans="2:8" x14ac:dyDescent="0.2">
      <c r="B90" t="s">
        <v>87</v>
      </c>
      <c r="C90" t="s">
        <v>225</v>
      </c>
      <c r="D90" s="243" t="s">
        <v>623</v>
      </c>
      <c r="E90" s="240" t="s">
        <v>618</v>
      </c>
      <c r="F90" s="1" t="s">
        <v>662</v>
      </c>
      <c r="G90" t="s">
        <v>666</v>
      </c>
      <c r="H90" t="s">
        <v>667</v>
      </c>
    </row>
    <row r="91" spans="2:8" x14ac:dyDescent="0.2">
      <c r="B91" t="s">
        <v>88</v>
      </c>
      <c r="C91" t="s">
        <v>226</v>
      </c>
      <c r="D91" s="243" t="s">
        <v>623</v>
      </c>
      <c r="E91" s="240" t="s">
        <v>618</v>
      </c>
      <c r="F91" s="1" t="s">
        <v>663</v>
      </c>
      <c r="G91" t="s">
        <v>666</v>
      </c>
      <c r="H91" t="s">
        <v>667</v>
      </c>
    </row>
    <row r="92" spans="2:8" x14ac:dyDescent="0.2">
      <c r="B92" t="s">
        <v>89</v>
      </c>
      <c r="C92" t="s">
        <v>227</v>
      </c>
      <c r="D92" s="243" t="s">
        <v>623</v>
      </c>
      <c r="E92" s="240" t="s">
        <v>624</v>
      </c>
      <c r="F92" s="1" t="s">
        <v>658</v>
      </c>
      <c r="G92" t="s">
        <v>666</v>
      </c>
      <c r="H92" t="s">
        <v>667</v>
      </c>
    </row>
    <row r="93" spans="2:8" x14ac:dyDescent="0.2">
      <c r="B93" t="s">
        <v>90</v>
      </c>
      <c r="C93" t="s">
        <v>228</v>
      </c>
      <c r="D93" s="243" t="s">
        <v>623</v>
      </c>
      <c r="E93" s="240" t="s">
        <v>624</v>
      </c>
      <c r="F93" s="1" t="s">
        <v>659</v>
      </c>
      <c r="G93" t="s">
        <v>666</v>
      </c>
      <c r="H93" t="s">
        <v>667</v>
      </c>
    </row>
    <row r="94" spans="2:8" x14ac:dyDescent="0.2">
      <c r="B94" t="s">
        <v>91</v>
      </c>
      <c r="C94" t="s">
        <v>229</v>
      </c>
      <c r="D94" s="243" t="s">
        <v>623</v>
      </c>
      <c r="E94" s="240" t="s">
        <v>624</v>
      </c>
      <c r="F94" t="s">
        <v>660</v>
      </c>
      <c r="G94" t="s">
        <v>666</v>
      </c>
      <c r="H94" t="s">
        <v>667</v>
      </c>
    </row>
    <row r="95" spans="2:8" x14ac:dyDescent="0.2">
      <c r="B95" t="s">
        <v>92</v>
      </c>
      <c r="C95" t="s">
        <v>230</v>
      </c>
      <c r="D95" s="243" t="s">
        <v>631</v>
      </c>
      <c r="E95" s="240" t="s">
        <v>618</v>
      </c>
      <c r="F95" s="1" t="s">
        <v>686</v>
      </c>
      <c r="G95" t="s">
        <v>666</v>
      </c>
      <c r="H95" t="s">
        <v>667</v>
      </c>
    </row>
    <row r="96" spans="2:8" x14ac:dyDescent="0.2">
      <c r="B96" t="s">
        <v>93</v>
      </c>
      <c r="C96" t="s">
        <v>231</v>
      </c>
      <c r="D96" s="243" t="s">
        <v>623</v>
      </c>
      <c r="E96" s="240" t="s">
        <v>618</v>
      </c>
      <c r="F96" s="1" t="s">
        <v>687</v>
      </c>
      <c r="G96" t="s">
        <v>666</v>
      </c>
      <c r="H96" t="s">
        <v>667</v>
      </c>
    </row>
    <row r="97" spans="2:8" x14ac:dyDescent="0.2">
      <c r="B97" t="s">
        <v>94</v>
      </c>
      <c r="C97" t="s">
        <v>232</v>
      </c>
      <c r="D97" s="243" t="s">
        <v>623</v>
      </c>
      <c r="E97" s="240" t="s">
        <v>618</v>
      </c>
      <c r="F97" s="1" t="s">
        <v>688</v>
      </c>
      <c r="G97" t="s">
        <v>666</v>
      </c>
      <c r="H97" t="s">
        <v>667</v>
      </c>
    </row>
    <row r="98" spans="2:8" x14ac:dyDescent="0.2">
      <c r="B98" t="s">
        <v>95</v>
      </c>
      <c r="C98" t="s">
        <v>233</v>
      </c>
      <c r="D98" s="243" t="s">
        <v>623</v>
      </c>
      <c r="E98" s="240" t="s">
        <v>618</v>
      </c>
      <c r="F98" s="1" t="s">
        <v>689</v>
      </c>
      <c r="G98" t="s">
        <v>666</v>
      </c>
      <c r="H98" t="s">
        <v>667</v>
      </c>
    </row>
    <row r="99" spans="2:8" x14ac:dyDescent="0.2">
      <c r="B99" t="s">
        <v>96</v>
      </c>
      <c r="C99" t="s">
        <v>234</v>
      </c>
      <c r="D99" s="243" t="s">
        <v>623</v>
      </c>
      <c r="E99" s="240" t="s">
        <v>618</v>
      </c>
      <c r="F99" s="1" t="s">
        <v>690</v>
      </c>
      <c r="G99" t="s">
        <v>666</v>
      </c>
      <c r="H99" t="s">
        <v>667</v>
      </c>
    </row>
    <row r="100" spans="2:8" x14ac:dyDescent="0.2">
      <c r="B100" t="s">
        <v>97</v>
      </c>
      <c r="C100" t="s">
        <v>235</v>
      </c>
      <c r="D100" s="243" t="s">
        <v>623</v>
      </c>
      <c r="E100" s="240" t="s">
        <v>624</v>
      </c>
      <c r="F100" t="s">
        <v>674</v>
      </c>
      <c r="G100" t="s">
        <v>666</v>
      </c>
      <c r="H100" t="s">
        <v>667</v>
      </c>
    </row>
    <row r="101" spans="2:8" x14ac:dyDescent="0.2">
      <c r="B101" t="s">
        <v>98</v>
      </c>
      <c r="C101" t="s">
        <v>236</v>
      </c>
      <c r="D101" s="243" t="s">
        <v>623</v>
      </c>
      <c r="E101" s="240" t="s">
        <v>624</v>
      </c>
      <c r="F101" t="s">
        <v>675</v>
      </c>
      <c r="G101" t="s">
        <v>666</v>
      </c>
      <c r="H101" t="s">
        <v>667</v>
      </c>
    </row>
    <row r="102" spans="2:8" x14ac:dyDescent="0.2">
      <c r="B102" t="s">
        <v>99</v>
      </c>
      <c r="C102" t="s">
        <v>237</v>
      </c>
      <c r="D102" s="243" t="s">
        <v>623</v>
      </c>
      <c r="E102" s="240" t="s">
        <v>624</v>
      </c>
      <c r="F102" t="s">
        <v>676</v>
      </c>
      <c r="G102" t="s">
        <v>666</v>
      </c>
      <c r="H102" t="s">
        <v>667</v>
      </c>
    </row>
    <row r="103" spans="2:8" x14ac:dyDescent="0.2">
      <c r="B103" t="s">
        <v>100</v>
      </c>
      <c r="C103" t="s">
        <v>238</v>
      </c>
      <c r="D103" s="243" t="s">
        <v>631</v>
      </c>
      <c r="E103" s="240" t="s">
        <v>618</v>
      </c>
      <c r="F103" s="1" t="s">
        <v>691</v>
      </c>
      <c r="G103" t="s">
        <v>666</v>
      </c>
      <c r="H103" t="s">
        <v>667</v>
      </c>
    </row>
    <row r="104" spans="2:8" x14ac:dyDescent="0.2">
      <c r="B104" t="s">
        <v>101</v>
      </c>
      <c r="C104" t="s">
        <v>239</v>
      </c>
      <c r="D104" s="243" t="s">
        <v>623</v>
      </c>
      <c r="E104" s="240" t="s">
        <v>618</v>
      </c>
      <c r="F104" s="1" t="s">
        <v>692</v>
      </c>
      <c r="G104" t="s">
        <v>666</v>
      </c>
      <c r="H104" t="s">
        <v>667</v>
      </c>
    </row>
    <row r="105" spans="2:8" x14ac:dyDescent="0.2">
      <c r="B105" t="s">
        <v>102</v>
      </c>
      <c r="C105" t="s">
        <v>240</v>
      </c>
      <c r="D105" s="243" t="s">
        <v>623</v>
      </c>
      <c r="E105" s="240" t="s">
        <v>618</v>
      </c>
      <c r="F105" s="1" t="s">
        <v>693</v>
      </c>
      <c r="G105" t="s">
        <v>666</v>
      </c>
      <c r="H105" t="s">
        <v>667</v>
      </c>
    </row>
    <row r="106" spans="2:8" x14ac:dyDescent="0.2">
      <c r="B106" t="s">
        <v>103</v>
      </c>
      <c r="C106" t="s">
        <v>241</v>
      </c>
      <c r="D106" s="243" t="s">
        <v>623</v>
      </c>
      <c r="E106" s="240" t="s">
        <v>618</v>
      </c>
      <c r="F106" s="1" t="s">
        <v>694</v>
      </c>
      <c r="G106" t="s">
        <v>666</v>
      </c>
      <c r="H106" t="s">
        <v>667</v>
      </c>
    </row>
    <row r="107" spans="2:8" x14ac:dyDescent="0.2">
      <c r="B107" t="s">
        <v>104</v>
      </c>
      <c r="C107" t="s">
        <v>242</v>
      </c>
      <c r="D107" s="243" t="s">
        <v>623</v>
      </c>
      <c r="E107" s="240" t="s">
        <v>618</v>
      </c>
      <c r="F107" s="1" t="s">
        <v>695</v>
      </c>
      <c r="G107" t="s">
        <v>666</v>
      </c>
      <c r="H107" t="s">
        <v>667</v>
      </c>
    </row>
    <row r="108" spans="2:8" x14ac:dyDescent="0.2">
      <c r="B108" t="s">
        <v>105</v>
      </c>
      <c r="C108" t="s">
        <v>243</v>
      </c>
      <c r="D108" s="243" t="s">
        <v>623</v>
      </c>
      <c r="E108" s="240" t="s">
        <v>624</v>
      </c>
      <c r="F108" t="s">
        <v>680</v>
      </c>
      <c r="G108" t="s">
        <v>666</v>
      </c>
      <c r="H108" t="s">
        <v>667</v>
      </c>
    </row>
    <row r="109" spans="2:8" x14ac:dyDescent="0.2">
      <c r="B109" t="s">
        <v>106</v>
      </c>
      <c r="C109" t="s">
        <v>244</v>
      </c>
      <c r="D109" s="243" t="s">
        <v>623</v>
      </c>
      <c r="E109" s="240" t="s">
        <v>624</v>
      </c>
      <c r="F109" t="s">
        <v>681</v>
      </c>
      <c r="G109" t="s">
        <v>666</v>
      </c>
      <c r="H109" t="s">
        <v>667</v>
      </c>
    </row>
    <row r="110" spans="2:8" x14ac:dyDescent="0.2">
      <c r="B110" t="s">
        <v>107</v>
      </c>
      <c r="C110" t="s">
        <v>245</v>
      </c>
      <c r="D110" s="243" t="s">
        <v>623</v>
      </c>
      <c r="E110" s="240" t="s">
        <v>624</v>
      </c>
      <c r="F110" t="s">
        <v>682</v>
      </c>
      <c r="G110" t="s">
        <v>666</v>
      </c>
      <c r="H110" t="s">
        <v>667</v>
      </c>
    </row>
    <row r="111" spans="2:8" x14ac:dyDescent="0.2">
      <c r="B111" t="s">
        <v>108</v>
      </c>
      <c r="C111" t="s">
        <v>246</v>
      </c>
      <c r="D111" s="243" t="s">
        <v>631</v>
      </c>
      <c r="E111" s="240" t="s">
        <v>618</v>
      </c>
      <c r="F111" s="1" t="s">
        <v>696</v>
      </c>
      <c r="G111" t="s">
        <v>666</v>
      </c>
      <c r="H111" t="s">
        <v>667</v>
      </c>
    </row>
    <row r="112" spans="2:8" x14ac:dyDescent="0.2">
      <c r="B112" t="s">
        <v>109</v>
      </c>
      <c r="C112" t="s">
        <v>247</v>
      </c>
      <c r="D112" s="243" t="s">
        <v>623</v>
      </c>
      <c r="E112" s="240" t="s">
        <v>618</v>
      </c>
      <c r="F112" s="1" t="s">
        <v>697</v>
      </c>
      <c r="G112" t="s">
        <v>666</v>
      </c>
      <c r="H112" t="s">
        <v>667</v>
      </c>
    </row>
    <row r="113" spans="2:8" x14ac:dyDescent="0.2">
      <c r="B113" t="s">
        <v>110</v>
      </c>
      <c r="C113" t="s">
        <v>248</v>
      </c>
      <c r="D113" s="243" t="s">
        <v>623</v>
      </c>
      <c r="E113" s="240" t="s">
        <v>618</v>
      </c>
      <c r="F113" s="1" t="s">
        <v>698</v>
      </c>
      <c r="G113" t="s">
        <v>666</v>
      </c>
      <c r="H113" t="s">
        <v>667</v>
      </c>
    </row>
    <row r="114" spans="2:8" x14ac:dyDescent="0.2">
      <c r="B114" t="s">
        <v>111</v>
      </c>
      <c r="C114" t="s">
        <v>249</v>
      </c>
      <c r="D114" s="243" t="s">
        <v>623</v>
      </c>
      <c r="E114" s="240" t="s">
        <v>618</v>
      </c>
      <c r="F114" s="1" t="s">
        <v>699</v>
      </c>
      <c r="G114" t="s">
        <v>666</v>
      </c>
      <c r="H114" t="s">
        <v>667</v>
      </c>
    </row>
    <row r="115" spans="2:8" x14ac:dyDescent="0.2">
      <c r="B115" t="s">
        <v>112</v>
      </c>
      <c r="C115" t="s">
        <v>250</v>
      </c>
      <c r="D115" s="243" t="s">
        <v>623</v>
      </c>
      <c r="E115" s="240" t="s">
        <v>618</v>
      </c>
      <c r="F115" s="1" t="s">
        <v>700</v>
      </c>
      <c r="G115" t="s">
        <v>666</v>
      </c>
      <c r="H115" t="s">
        <v>667</v>
      </c>
    </row>
    <row r="116" spans="2:8" x14ac:dyDescent="0.2">
      <c r="B116" t="s">
        <v>113</v>
      </c>
      <c r="C116" t="s">
        <v>251</v>
      </c>
      <c r="D116" s="243" t="s">
        <v>623</v>
      </c>
      <c r="E116" s="240" t="s">
        <v>624</v>
      </c>
      <c r="F116" t="s">
        <v>677</v>
      </c>
      <c r="G116" t="s">
        <v>666</v>
      </c>
      <c r="H116" t="s">
        <v>667</v>
      </c>
    </row>
    <row r="117" spans="2:8" x14ac:dyDescent="0.2">
      <c r="B117" t="s">
        <v>114</v>
      </c>
      <c r="C117" t="s">
        <v>252</v>
      </c>
      <c r="D117" s="243" t="s">
        <v>623</v>
      </c>
      <c r="E117" s="240" t="s">
        <v>624</v>
      </c>
      <c r="F117" t="s">
        <v>678</v>
      </c>
      <c r="G117" t="s">
        <v>666</v>
      </c>
      <c r="H117" t="s">
        <v>667</v>
      </c>
    </row>
    <row r="118" spans="2:8" x14ac:dyDescent="0.2">
      <c r="B118" t="s">
        <v>115</v>
      </c>
      <c r="C118" t="s">
        <v>253</v>
      </c>
      <c r="D118" s="243" t="s">
        <v>623</v>
      </c>
      <c r="E118" s="240" t="s">
        <v>624</v>
      </c>
      <c r="F118" t="s">
        <v>679</v>
      </c>
      <c r="G118" t="s">
        <v>666</v>
      </c>
      <c r="H118" t="s">
        <v>667</v>
      </c>
    </row>
    <row r="119" spans="2:8" x14ac:dyDescent="0.2">
      <c r="B119" t="s">
        <v>116</v>
      </c>
      <c r="C119" t="s">
        <v>254</v>
      </c>
      <c r="D119" s="243" t="s">
        <v>631</v>
      </c>
      <c r="E119" s="240" t="s">
        <v>618</v>
      </c>
      <c r="F119" s="1" t="s">
        <v>701</v>
      </c>
      <c r="G119" t="s">
        <v>666</v>
      </c>
      <c r="H119" t="s">
        <v>667</v>
      </c>
    </row>
    <row r="120" spans="2:8" x14ac:dyDescent="0.2">
      <c r="B120" t="s">
        <v>117</v>
      </c>
      <c r="C120" t="s">
        <v>255</v>
      </c>
      <c r="D120" s="243" t="s">
        <v>623</v>
      </c>
      <c r="E120" s="240" t="s">
        <v>618</v>
      </c>
      <c r="F120" s="1" t="s">
        <v>703</v>
      </c>
      <c r="G120" t="s">
        <v>666</v>
      </c>
      <c r="H120" t="s">
        <v>667</v>
      </c>
    </row>
    <row r="121" spans="2:8" x14ac:dyDescent="0.2">
      <c r="B121" t="s">
        <v>118</v>
      </c>
      <c r="C121" t="s">
        <v>256</v>
      </c>
      <c r="D121" s="243" t="s">
        <v>623</v>
      </c>
      <c r="E121" s="240" t="s">
        <v>618</v>
      </c>
      <c r="F121" s="1" t="s">
        <v>702</v>
      </c>
      <c r="G121" t="s">
        <v>666</v>
      </c>
      <c r="H121" t="s">
        <v>667</v>
      </c>
    </row>
    <row r="122" spans="2:8" x14ac:dyDescent="0.2">
      <c r="B122" t="s">
        <v>119</v>
      </c>
      <c r="C122" t="s">
        <v>257</v>
      </c>
      <c r="D122" s="243" t="s">
        <v>623</v>
      </c>
      <c r="E122" s="240" t="s">
        <v>618</v>
      </c>
      <c r="F122" s="1" t="s">
        <v>704</v>
      </c>
      <c r="G122" t="s">
        <v>666</v>
      </c>
      <c r="H122" t="s">
        <v>667</v>
      </c>
    </row>
    <row r="123" spans="2:8" x14ac:dyDescent="0.2">
      <c r="B123" t="s">
        <v>120</v>
      </c>
      <c r="C123" t="s">
        <v>258</v>
      </c>
      <c r="D123" s="243" t="s">
        <v>623</v>
      </c>
      <c r="E123" s="240" t="s">
        <v>618</v>
      </c>
      <c r="F123" s="1" t="s">
        <v>705</v>
      </c>
      <c r="G123" t="s">
        <v>666</v>
      </c>
      <c r="H123" t="s">
        <v>667</v>
      </c>
    </row>
    <row r="124" spans="2:8" x14ac:dyDescent="0.2">
      <c r="B124" t="s">
        <v>121</v>
      </c>
      <c r="C124" t="s">
        <v>259</v>
      </c>
      <c r="D124" s="243" t="s">
        <v>623</v>
      </c>
      <c r="E124" s="240" t="s">
        <v>624</v>
      </c>
      <c r="F124" t="s">
        <v>668</v>
      </c>
      <c r="G124" t="s">
        <v>666</v>
      </c>
      <c r="H124" t="s">
        <v>667</v>
      </c>
    </row>
    <row r="125" spans="2:8" x14ac:dyDescent="0.2">
      <c r="B125" t="s">
        <v>122</v>
      </c>
      <c r="C125" t="s">
        <v>260</v>
      </c>
      <c r="D125" s="243" t="s">
        <v>623</v>
      </c>
      <c r="E125" s="240" t="s">
        <v>624</v>
      </c>
      <c r="F125" t="s">
        <v>669</v>
      </c>
      <c r="G125" t="s">
        <v>666</v>
      </c>
      <c r="H125" t="s">
        <v>667</v>
      </c>
    </row>
    <row r="126" spans="2:8" x14ac:dyDescent="0.2">
      <c r="B126" t="s">
        <v>123</v>
      </c>
      <c r="C126" t="s">
        <v>261</v>
      </c>
      <c r="D126" s="243" t="s">
        <v>623</v>
      </c>
      <c r="E126" s="240" t="s">
        <v>624</v>
      </c>
      <c r="F126" t="s">
        <v>670</v>
      </c>
      <c r="G126" t="s">
        <v>666</v>
      </c>
      <c r="H126" t="s">
        <v>667</v>
      </c>
    </row>
    <row r="127" spans="2:8" x14ac:dyDescent="0.2">
      <c r="B127" t="s">
        <v>124</v>
      </c>
      <c r="C127" t="s">
        <v>262</v>
      </c>
      <c r="D127" s="243" t="s">
        <v>631</v>
      </c>
      <c r="E127" s="240" t="s">
        <v>618</v>
      </c>
      <c r="F127" s="1" t="s">
        <v>754</v>
      </c>
      <c r="G127" t="s">
        <v>666</v>
      </c>
      <c r="H127" t="s">
        <v>667</v>
      </c>
    </row>
    <row r="128" spans="2:8" x14ac:dyDescent="0.2">
      <c r="B128" t="s">
        <v>125</v>
      </c>
      <c r="C128" t="s">
        <v>263</v>
      </c>
      <c r="D128" s="243" t="s">
        <v>623</v>
      </c>
      <c r="E128" s="240" t="s">
        <v>618</v>
      </c>
      <c r="F128" s="1" t="s">
        <v>750</v>
      </c>
      <c r="G128" t="s">
        <v>666</v>
      </c>
      <c r="H128" t="s">
        <v>667</v>
      </c>
    </row>
    <row r="129" spans="2:8" x14ac:dyDescent="0.2">
      <c r="B129" t="s">
        <v>126</v>
      </c>
      <c r="C129" t="s">
        <v>264</v>
      </c>
      <c r="D129" s="243" t="s">
        <v>623</v>
      </c>
      <c r="E129" s="240" t="s">
        <v>618</v>
      </c>
      <c r="F129" s="1" t="s">
        <v>751</v>
      </c>
      <c r="G129" t="s">
        <v>666</v>
      </c>
      <c r="H129" t="s">
        <v>667</v>
      </c>
    </row>
    <row r="130" spans="2:8" x14ac:dyDescent="0.2">
      <c r="B130" t="s">
        <v>127</v>
      </c>
      <c r="C130" t="s">
        <v>265</v>
      </c>
      <c r="D130" s="243" t="s">
        <v>623</v>
      </c>
      <c r="E130" s="240" t="s">
        <v>618</v>
      </c>
      <c r="F130" s="1" t="s">
        <v>752</v>
      </c>
      <c r="G130" t="s">
        <v>666</v>
      </c>
      <c r="H130" t="s">
        <v>667</v>
      </c>
    </row>
    <row r="131" spans="2:8" x14ac:dyDescent="0.2">
      <c r="B131" t="s">
        <v>128</v>
      </c>
      <c r="C131" t="s">
        <v>266</v>
      </c>
      <c r="D131" s="243" t="s">
        <v>623</v>
      </c>
      <c r="E131" s="240" t="s">
        <v>618</v>
      </c>
      <c r="F131" s="1" t="s">
        <v>753</v>
      </c>
      <c r="G131" t="s">
        <v>666</v>
      </c>
      <c r="H131" t="s">
        <v>667</v>
      </c>
    </row>
    <row r="132" spans="2:8" x14ac:dyDescent="0.2">
      <c r="B132" t="s">
        <v>129</v>
      </c>
      <c r="C132" t="s">
        <v>267</v>
      </c>
      <c r="D132" s="243" t="s">
        <v>623</v>
      </c>
      <c r="E132" s="240" t="s">
        <v>624</v>
      </c>
      <c r="F132" t="s">
        <v>671</v>
      </c>
      <c r="G132" t="s">
        <v>666</v>
      </c>
      <c r="H132" t="s">
        <v>667</v>
      </c>
    </row>
    <row r="133" spans="2:8" x14ac:dyDescent="0.2">
      <c r="B133" t="s">
        <v>130</v>
      </c>
      <c r="C133" t="s">
        <v>268</v>
      </c>
      <c r="D133" s="243" t="s">
        <v>623</v>
      </c>
      <c r="E133" s="240" t="s">
        <v>624</v>
      </c>
      <c r="F133" t="s">
        <v>672</v>
      </c>
      <c r="G133" t="s">
        <v>666</v>
      </c>
      <c r="H133" t="s">
        <v>667</v>
      </c>
    </row>
    <row r="134" spans="2:8" x14ac:dyDescent="0.2">
      <c r="B134" t="s">
        <v>131</v>
      </c>
      <c r="C134" t="s">
        <v>269</v>
      </c>
      <c r="D134" s="243" t="s">
        <v>623</v>
      </c>
      <c r="E134" s="240" t="s">
        <v>624</v>
      </c>
      <c r="F134" t="s">
        <v>673</v>
      </c>
      <c r="G134" t="s">
        <v>666</v>
      </c>
      <c r="H134" t="s">
        <v>667</v>
      </c>
    </row>
    <row r="135" spans="2:8" x14ac:dyDescent="0.2">
      <c r="B135" s="1" t="s">
        <v>132</v>
      </c>
      <c r="C135" t="s">
        <v>270</v>
      </c>
      <c r="D135" s="242" t="s">
        <v>623</v>
      </c>
      <c r="E135" s="241" t="s">
        <v>624</v>
      </c>
      <c r="F135" t="s">
        <v>683</v>
      </c>
      <c r="G135" t="s">
        <v>666</v>
      </c>
      <c r="H135" t="s">
        <v>667</v>
      </c>
    </row>
    <row r="136" spans="2:8" x14ac:dyDescent="0.2">
      <c r="B136" t="s">
        <v>133</v>
      </c>
      <c r="C136" t="s">
        <v>271</v>
      </c>
      <c r="D136" s="242" t="s">
        <v>623</v>
      </c>
      <c r="E136" s="241" t="s">
        <v>624</v>
      </c>
      <c r="F136" t="s">
        <v>684</v>
      </c>
      <c r="G136" t="s">
        <v>666</v>
      </c>
      <c r="H136" t="s">
        <v>667</v>
      </c>
    </row>
    <row r="137" spans="2:8" x14ac:dyDescent="0.2">
      <c r="B137" t="s">
        <v>134</v>
      </c>
      <c r="C137" t="s">
        <v>272</v>
      </c>
      <c r="D137" s="242" t="s">
        <v>623</v>
      </c>
      <c r="E137" s="241" t="s">
        <v>624</v>
      </c>
      <c r="F137" t="s">
        <v>685</v>
      </c>
      <c r="G137" s="1" t="s">
        <v>666</v>
      </c>
      <c r="H137" s="1" t="s">
        <v>667</v>
      </c>
    </row>
    <row r="138" spans="2:8" x14ac:dyDescent="0.2">
      <c r="B138" t="s">
        <v>135</v>
      </c>
      <c r="C138" t="s">
        <v>273</v>
      </c>
      <c r="D138" s="243" t="s">
        <v>631</v>
      </c>
      <c r="E138" s="240" t="s">
        <v>618</v>
      </c>
      <c r="F138" s="1" t="s">
        <v>761</v>
      </c>
      <c r="G138" t="s">
        <v>719</v>
      </c>
      <c r="H138" t="s">
        <v>721</v>
      </c>
    </row>
    <row r="139" spans="2:8" x14ac:dyDescent="0.2">
      <c r="B139" t="s">
        <v>136</v>
      </c>
      <c r="C139" t="s">
        <v>274</v>
      </c>
      <c r="D139" s="243" t="s">
        <v>623</v>
      </c>
      <c r="E139" s="240" t="s">
        <v>618</v>
      </c>
      <c r="F139" s="1" t="s">
        <v>763</v>
      </c>
      <c r="G139" t="s">
        <v>719</v>
      </c>
      <c r="H139" t="s">
        <v>721</v>
      </c>
    </row>
    <row r="140" spans="2:8" x14ac:dyDescent="0.2">
      <c r="B140" t="s">
        <v>137</v>
      </c>
      <c r="C140" t="s">
        <v>275</v>
      </c>
      <c r="D140" s="243" t="s">
        <v>623</v>
      </c>
      <c r="E140" s="240" t="s">
        <v>618</v>
      </c>
      <c r="F140" s="1" t="s">
        <v>762</v>
      </c>
      <c r="G140" t="s">
        <v>719</v>
      </c>
      <c r="H140" t="s">
        <v>721</v>
      </c>
    </row>
    <row r="141" spans="2:8" x14ac:dyDescent="0.2">
      <c r="B141" t="s">
        <v>138</v>
      </c>
      <c r="C141" t="s">
        <v>276</v>
      </c>
      <c r="D141" s="243" t="s">
        <v>623</v>
      </c>
      <c r="E141" s="240" t="s">
        <v>618</v>
      </c>
      <c r="F141" s="1" t="s">
        <v>764</v>
      </c>
      <c r="G141" t="s">
        <v>719</v>
      </c>
      <c r="H141" t="s">
        <v>721</v>
      </c>
    </row>
    <row r="142" spans="2:8" x14ac:dyDescent="0.2">
      <c r="B142" t="s">
        <v>139</v>
      </c>
      <c r="C142" t="s">
        <v>277</v>
      </c>
      <c r="D142" s="243" t="s">
        <v>623</v>
      </c>
      <c r="E142" s="240" t="s">
        <v>618</v>
      </c>
      <c r="F142" s="1" t="s">
        <v>765</v>
      </c>
      <c r="G142" t="s">
        <v>719</v>
      </c>
      <c r="H142" t="s">
        <v>721</v>
      </c>
    </row>
    <row r="143" spans="2:8" x14ac:dyDescent="0.2">
      <c r="B143" t="s">
        <v>140</v>
      </c>
      <c r="C143" t="s">
        <v>278</v>
      </c>
      <c r="D143" s="243" t="s">
        <v>623</v>
      </c>
      <c r="E143" s="240" t="s">
        <v>624</v>
      </c>
      <c r="F143" s="1" t="s">
        <v>758</v>
      </c>
      <c r="G143" t="s">
        <v>719</v>
      </c>
      <c r="H143" t="s">
        <v>721</v>
      </c>
    </row>
    <row r="144" spans="2:8" x14ac:dyDescent="0.2">
      <c r="B144" t="s">
        <v>141</v>
      </c>
      <c r="C144" t="s">
        <v>279</v>
      </c>
      <c r="D144" s="243" t="s">
        <v>623</v>
      </c>
      <c r="E144" s="240" t="s">
        <v>624</v>
      </c>
      <c r="F144" t="s">
        <v>759</v>
      </c>
      <c r="G144" t="s">
        <v>719</v>
      </c>
      <c r="H144" t="s">
        <v>721</v>
      </c>
    </row>
    <row r="145" spans="2:8" x14ac:dyDescent="0.2">
      <c r="B145" t="s">
        <v>142</v>
      </c>
      <c r="C145" t="s">
        <v>280</v>
      </c>
      <c r="D145" s="243" t="s">
        <v>623</v>
      </c>
      <c r="E145" s="240" t="s">
        <v>624</v>
      </c>
      <c r="F145" t="s">
        <v>760</v>
      </c>
      <c r="G145" t="s">
        <v>719</v>
      </c>
      <c r="H145" t="s">
        <v>721</v>
      </c>
    </row>
    <row r="146" spans="2:8" x14ac:dyDescent="0.2">
      <c r="B146" t="s">
        <v>143</v>
      </c>
      <c r="C146" t="s">
        <v>281</v>
      </c>
      <c r="D146" s="243" t="s">
        <v>631</v>
      </c>
      <c r="E146" s="240" t="s">
        <v>618</v>
      </c>
      <c r="F146" s="1" t="s">
        <v>766</v>
      </c>
      <c r="G146" t="s">
        <v>719</v>
      </c>
      <c r="H146" t="s">
        <v>721</v>
      </c>
    </row>
    <row r="147" spans="2:8" x14ac:dyDescent="0.2">
      <c r="B147" t="s">
        <v>144</v>
      </c>
      <c r="C147" t="s">
        <v>282</v>
      </c>
      <c r="D147" s="243" t="s">
        <v>623</v>
      </c>
      <c r="E147" s="240" t="s">
        <v>618</v>
      </c>
      <c r="F147" s="1" t="s">
        <v>767</v>
      </c>
      <c r="G147" t="s">
        <v>719</v>
      </c>
      <c r="H147" t="s">
        <v>721</v>
      </c>
    </row>
    <row r="148" spans="2:8" x14ac:dyDescent="0.2">
      <c r="B148" t="s">
        <v>145</v>
      </c>
      <c r="C148" t="s">
        <v>283</v>
      </c>
      <c r="D148" s="243" t="s">
        <v>623</v>
      </c>
      <c r="E148" s="240" t="s">
        <v>618</v>
      </c>
      <c r="F148" s="1" t="s">
        <v>768</v>
      </c>
      <c r="G148" t="s">
        <v>719</v>
      </c>
      <c r="H148" t="s">
        <v>721</v>
      </c>
    </row>
    <row r="149" spans="2:8" x14ac:dyDescent="0.2">
      <c r="B149" t="s">
        <v>146</v>
      </c>
      <c r="C149" t="s">
        <v>284</v>
      </c>
      <c r="D149" s="243" t="s">
        <v>623</v>
      </c>
      <c r="E149" s="240" t="s">
        <v>618</v>
      </c>
      <c r="F149" s="1" t="s">
        <v>769</v>
      </c>
      <c r="G149" t="s">
        <v>719</v>
      </c>
      <c r="H149" t="s">
        <v>721</v>
      </c>
    </row>
    <row r="150" spans="2:8" x14ac:dyDescent="0.2">
      <c r="B150" t="s">
        <v>147</v>
      </c>
      <c r="C150" t="s">
        <v>285</v>
      </c>
      <c r="D150" s="243" t="s">
        <v>623</v>
      </c>
      <c r="E150" s="240" t="s">
        <v>618</v>
      </c>
      <c r="F150" s="1" t="s">
        <v>770</v>
      </c>
      <c r="G150" t="s">
        <v>719</v>
      </c>
      <c r="H150" t="s">
        <v>721</v>
      </c>
    </row>
    <row r="151" spans="2:8" x14ac:dyDescent="0.2">
      <c r="B151" t="s">
        <v>148</v>
      </c>
      <c r="C151" t="s">
        <v>286</v>
      </c>
      <c r="D151" s="243" t="s">
        <v>623</v>
      </c>
      <c r="E151" s="240" t="s">
        <v>624</v>
      </c>
      <c r="F151" s="1" t="s">
        <v>755</v>
      </c>
      <c r="G151" t="s">
        <v>719</v>
      </c>
      <c r="H151" t="s">
        <v>721</v>
      </c>
    </row>
    <row r="152" spans="2:8" x14ac:dyDescent="0.2">
      <c r="B152" t="s">
        <v>149</v>
      </c>
      <c r="C152" t="s">
        <v>287</v>
      </c>
      <c r="D152" s="243" t="s">
        <v>623</v>
      </c>
      <c r="E152" s="240" t="s">
        <v>624</v>
      </c>
      <c r="F152" s="1" t="s">
        <v>756</v>
      </c>
      <c r="G152" t="s">
        <v>719</v>
      </c>
      <c r="H152" t="s">
        <v>721</v>
      </c>
    </row>
    <row r="153" spans="2:8" x14ac:dyDescent="0.2">
      <c r="B153" t="s">
        <v>150</v>
      </c>
      <c r="C153" t="s">
        <v>288</v>
      </c>
      <c r="D153" s="243" t="s">
        <v>623</v>
      </c>
      <c r="E153" s="244" t="s">
        <v>624</v>
      </c>
      <c r="F153" s="1" t="s">
        <v>757</v>
      </c>
      <c r="G153" t="s">
        <v>719</v>
      </c>
      <c r="H153" t="s">
        <v>721</v>
      </c>
    </row>
    <row r="154" spans="2:8" x14ac:dyDescent="0.2">
      <c r="B154" s="1" t="s">
        <v>151</v>
      </c>
      <c r="C154" t="s">
        <v>289</v>
      </c>
      <c r="D154" s="243" t="s">
        <v>623</v>
      </c>
      <c r="E154" s="244" t="s">
        <v>624</v>
      </c>
      <c r="F154" s="1" t="s">
        <v>771</v>
      </c>
      <c r="G154" t="s">
        <v>719</v>
      </c>
      <c r="H154" t="s">
        <v>721</v>
      </c>
    </row>
    <row r="155" spans="2:8" x14ac:dyDescent="0.2">
      <c r="B155" t="s">
        <v>152</v>
      </c>
      <c r="C155" t="s">
        <v>290</v>
      </c>
      <c r="D155" s="243" t="s">
        <v>623</v>
      </c>
      <c r="E155" s="244" t="s">
        <v>624</v>
      </c>
      <c r="F155" s="1" t="s">
        <v>772</v>
      </c>
      <c r="G155" t="s">
        <v>719</v>
      </c>
      <c r="H155" t="s">
        <v>721</v>
      </c>
    </row>
    <row r="156" spans="2:8" x14ac:dyDescent="0.2">
      <c r="B156" t="s">
        <v>153</v>
      </c>
      <c r="C156" t="s">
        <v>291</v>
      </c>
      <c r="D156" s="243" t="s">
        <v>623</v>
      </c>
      <c r="E156" s="244" t="s">
        <v>624</v>
      </c>
      <c r="F156" s="1" t="s">
        <v>773</v>
      </c>
      <c r="G156" t="s">
        <v>719</v>
      </c>
      <c r="H156" t="s">
        <v>721</v>
      </c>
    </row>
    <row r="157" spans="2:8" ht="16" x14ac:dyDescent="0.2">
      <c r="B157" t="s">
        <v>154</v>
      </c>
      <c r="C157" t="s">
        <v>292</v>
      </c>
      <c r="D157" s="243" t="s">
        <v>623</v>
      </c>
      <c r="E157" s="244" t="s">
        <v>624</v>
      </c>
      <c r="F157" s="239" t="s">
        <v>724</v>
      </c>
      <c r="G157" t="s">
        <v>722</v>
      </c>
      <c r="H157" t="s">
        <v>723</v>
      </c>
    </row>
    <row r="158" spans="2:8" ht="16" x14ac:dyDescent="0.2">
      <c r="B158" t="s">
        <v>155</v>
      </c>
      <c r="C158" t="s">
        <v>293</v>
      </c>
      <c r="D158" s="242" t="s">
        <v>623</v>
      </c>
      <c r="E158" s="244" t="s">
        <v>624</v>
      </c>
      <c r="F158" s="239" t="s">
        <v>725</v>
      </c>
      <c r="G158" t="s">
        <v>722</v>
      </c>
      <c r="H158" t="s">
        <v>723</v>
      </c>
    </row>
    <row r="159" spans="2:8" ht="16" x14ac:dyDescent="0.2">
      <c r="B159" t="s">
        <v>156</v>
      </c>
      <c r="C159" t="s">
        <v>294</v>
      </c>
      <c r="D159" s="242" t="s">
        <v>623</v>
      </c>
      <c r="E159" s="244" t="s">
        <v>624</v>
      </c>
      <c r="F159" s="239" t="s">
        <v>726</v>
      </c>
      <c r="G159" t="s">
        <v>722</v>
      </c>
      <c r="H159" t="s">
        <v>723</v>
      </c>
    </row>
    <row r="160" spans="2:8" x14ac:dyDescent="0.2">
      <c r="B160" t="s">
        <v>157</v>
      </c>
      <c r="C160" s="1" t="s">
        <v>611</v>
      </c>
      <c r="D160" s="242" t="s">
        <v>631</v>
      </c>
      <c r="E160" s="244" t="s">
        <v>624</v>
      </c>
    </row>
    <row r="161" spans="2:8" x14ac:dyDescent="0.2">
      <c r="B161" s="1" t="s">
        <v>612</v>
      </c>
      <c r="D161" s="242" t="s">
        <v>631</v>
      </c>
      <c r="E161" s="244" t="s">
        <v>624</v>
      </c>
      <c r="F161" t="s">
        <v>645</v>
      </c>
      <c r="G161" s="1" t="s">
        <v>643</v>
      </c>
      <c r="H161" t="s">
        <v>644</v>
      </c>
    </row>
    <row r="162" spans="2:8" x14ac:dyDescent="0.2">
      <c r="B162" t="s">
        <v>613</v>
      </c>
      <c r="C162" s="1" t="s">
        <v>714</v>
      </c>
      <c r="D162" s="242" t="s">
        <v>623</v>
      </c>
      <c r="E162" s="244" t="s">
        <v>624</v>
      </c>
      <c r="F162" s="1" t="s">
        <v>716</v>
      </c>
      <c r="G162" s="1" t="s">
        <v>718</v>
      </c>
      <c r="H162" s="1" t="s">
        <v>720</v>
      </c>
    </row>
    <row r="163" spans="2:8" x14ac:dyDescent="0.2">
      <c r="B163" t="s">
        <v>614</v>
      </c>
      <c r="C163" s="1" t="s">
        <v>715</v>
      </c>
      <c r="D163" s="242" t="s">
        <v>623</v>
      </c>
      <c r="E163" s="244" t="s">
        <v>624</v>
      </c>
      <c r="F163" s="1" t="s">
        <v>717</v>
      </c>
      <c r="G163" t="s">
        <v>710</v>
      </c>
      <c r="H163" t="s">
        <v>709</v>
      </c>
    </row>
    <row r="164" spans="2:8" x14ac:dyDescent="0.2">
      <c r="B164" t="s">
        <v>775</v>
      </c>
      <c r="C164" s="1" t="s">
        <v>777</v>
      </c>
      <c r="D164" s="242" t="s">
        <v>623</v>
      </c>
      <c r="E164" s="244" t="s">
        <v>624</v>
      </c>
      <c r="F164" s="1" t="s">
        <v>780</v>
      </c>
      <c r="G164" t="s">
        <v>781</v>
      </c>
      <c r="H164" s="1" t="s">
        <v>782</v>
      </c>
    </row>
    <row r="165" spans="2:8" x14ac:dyDescent="0.2">
      <c r="B165" t="s">
        <v>776</v>
      </c>
      <c r="C165" s="1" t="s">
        <v>778</v>
      </c>
      <c r="D165" s="242" t="s">
        <v>623</v>
      </c>
      <c r="E165" s="244" t="s">
        <v>624</v>
      </c>
      <c r="F165" s="1" t="s">
        <v>779</v>
      </c>
      <c r="G165" t="s">
        <v>781</v>
      </c>
      <c r="H165" s="1" t="s">
        <v>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42D3-8005-A544-A138-440269C22492}">
  <dimension ref="A1:E46"/>
  <sheetViews>
    <sheetView topLeftCell="A24" workbookViewId="0">
      <selection sqref="A1:E46"/>
    </sheetView>
  </sheetViews>
  <sheetFormatPr baseColWidth="10" defaultRowHeight="15" x14ac:dyDescent="0.2"/>
  <cols>
    <col min="1" max="1" width="42.33203125" bestFit="1" customWidth="1"/>
    <col min="2" max="2" width="10.5" bestFit="1" customWidth="1"/>
    <col min="3" max="3" width="8.6640625" bestFit="1" customWidth="1"/>
    <col min="4" max="4" width="14.6640625" bestFit="1" customWidth="1"/>
    <col min="5" max="5" width="20.1640625" bestFit="1" customWidth="1"/>
  </cols>
  <sheetData>
    <row r="1" spans="1:5" ht="16" thickBot="1" x14ac:dyDescent="0.25">
      <c r="A1" s="230" t="s">
        <v>496</v>
      </c>
      <c r="B1" s="231" t="s">
        <v>297</v>
      </c>
      <c r="C1" s="231" t="s">
        <v>497</v>
      </c>
      <c r="D1" s="231" t="s">
        <v>498</v>
      </c>
      <c r="E1" s="231" t="s">
        <v>499</v>
      </c>
    </row>
    <row r="2" spans="1:5" ht="30" x14ac:dyDescent="0.2">
      <c r="A2" s="301" t="s">
        <v>500</v>
      </c>
      <c r="B2" s="301" t="s">
        <v>501</v>
      </c>
      <c r="C2" s="301" t="s">
        <v>502</v>
      </c>
      <c r="D2" s="232" t="s">
        <v>503</v>
      </c>
      <c r="E2" s="232" t="s">
        <v>504</v>
      </c>
    </row>
    <row r="3" spans="1:5" ht="16" thickBot="1" x14ac:dyDescent="0.25">
      <c r="A3" s="302"/>
      <c r="B3" s="303"/>
      <c r="C3" s="303"/>
      <c r="D3" s="233" t="s">
        <v>505</v>
      </c>
      <c r="E3" s="233" t="s">
        <v>506</v>
      </c>
    </row>
    <row r="4" spans="1:5" ht="30" x14ac:dyDescent="0.2">
      <c r="A4" s="302"/>
      <c r="B4" s="301" t="s">
        <v>507</v>
      </c>
      <c r="C4" s="301" t="s">
        <v>502</v>
      </c>
      <c r="D4" s="232" t="s">
        <v>508</v>
      </c>
      <c r="E4" s="232" t="s">
        <v>509</v>
      </c>
    </row>
    <row r="5" spans="1:5" ht="16" thickBot="1" x14ac:dyDescent="0.25">
      <c r="A5" s="303"/>
      <c r="B5" s="303"/>
      <c r="C5" s="303"/>
      <c r="D5" s="233" t="s">
        <v>510</v>
      </c>
      <c r="E5" s="233" t="s">
        <v>511</v>
      </c>
    </row>
    <row r="6" spans="1:5" ht="46" thickBot="1" x14ac:dyDescent="0.25">
      <c r="A6" s="301" t="s">
        <v>512</v>
      </c>
      <c r="B6" s="233" t="s">
        <v>513</v>
      </c>
      <c r="C6" s="233" t="s">
        <v>514</v>
      </c>
      <c r="D6" s="233" t="s">
        <v>382</v>
      </c>
      <c r="E6" s="233" t="s">
        <v>515</v>
      </c>
    </row>
    <row r="7" spans="1:5" ht="30" x14ac:dyDescent="0.2">
      <c r="A7" s="302"/>
      <c r="B7" s="301" t="s">
        <v>516</v>
      </c>
      <c r="C7" s="301" t="s">
        <v>514</v>
      </c>
      <c r="D7" s="232" t="s">
        <v>517</v>
      </c>
      <c r="E7" s="301" t="s">
        <v>518</v>
      </c>
    </row>
    <row r="8" spans="1:5" ht="121" thickBot="1" x14ac:dyDescent="0.25">
      <c r="A8" s="303"/>
      <c r="B8" s="303"/>
      <c r="C8" s="303"/>
      <c r="D8" s="233" t="s">
        <v>519</v>
      </c>
      <c r="E8" s="303"/>
    </row>
    <row r="9" spans="1:5" ht="61" thickBot="1" x14ac:dyDescent="0.25">
      <c r="A9" s="301" t="s">
        <v>520</v>
      </c>
      <c r="B9" s="233" t="s">
        <v>521</v>
      </c>
      <c r="C9" s="233" t="s">
        <v>502</v>
      </c>
      <c r="D9" s="233" t="s">
        <v>418</v>
      </c>
      <c r="E9" s="233" t="s">
        <v>522</v>
      </c>
    </row>
    <row r="10" spans="1:5" ht="46" thickBot="1" x14ac:dyDescent="0.25">
      <c r="A10" s="302"/>
      <c r="B10" s="233" t="s">
        <v>523</v>
      </c>
      <c r="C10" s="233" t="s">
        <v>524</v>
      </c>
      <c r="D10" s="233" t="s">
        <v>525</v>
      </c>
      <c r="E10" s="233" t="s">
        <v>526</v>
      </c>
    </row>
    <row r="11" spans="1:5" ht="61" thickBot="1" x14ac:dyDescent="0.25">
      <c r="A11" s="302"/>
      <c r="B11" s="233" t="s">
        <v>521</v>
      </c>
      <c r="C11" s="233" t="s">
        <v>502</v>
      </c>
      <c r="D11" s="233" t="s">
        <v>527</v>
      </c>
      <c r="E11" s="233" t="s">
        <v>528</v>
      </c>
    </row>
    <row r="12" spans="1:5" ht="46" thickBot="1" x14ac:dyDescent="0.25">
      <c r="A12" s="303"/>
      <c r="B12" s="233" t="s">
        <v>523</v>
      </c>
      <c r="C12" s="233" t="s">
        <v>524</v>
      </c>
      <c r="D12" s="233" t="s">
        <v>529</v>
      </c>
      <c r="E12" s="233" t="s">
        <v>526</v>
      </c>
    </row>
    <row r="13" spans="1:5" ht="31" thickBot="1" x14ac:dyDescent="0.25">
      <c r="A13" s="301" t="s">
        <v>530</v>
      </c>
      <c r="B13" s="233" t="s">
        <v>531</v>
      </c>
      <c r="C13" s="233" t="s">
        <v>502</v>
      </c>
      <c r="D13" s="233" t="s">
        <v>532</v>
      </c>
      <c r="E13" s="233" t="s">
        <v>533</v>
      </c>
    </row>
    <row r="14" spans="1:5" ht="46" thickBot="1" x14ac:dyDescent="0.25">
      <c r="A14" s="302"/>
      <c r="B14" s="233" t="s">
        <v>534</v>
      </c>
      <c r="C14" s="233" t="s">
        <v>535</v>
      </c>
      <c r="D14" s="233" t="s">
        <v>536</v>
      </c>
      <c r="E14" s="233" t="s">
        <v>537</v>
      </c>
    </row>
    <row r="15" spans="1:5" ht="46" thickBot="1" x14ac:dyDescent="0.25">
      <c r="A15" s="303"/>
      <c r="B15" s="233" t="s">
        <v>538</v>
      </c>
      <c r="C15" s="233" t="s">
        <v>539</v>
      </c>
      <c r="D15" s="233" t="s">
        <v>540</v>
      </c>
      <c r="E15" s="233" t="s">
        <v>541</v>
      </c>
    </row>
    <row r="16" spans="1:5" ht="31" thickBot="1" x14ac:dyDescent="0.25">
      <c r="A16" s="301" t="s">
        <v>542</v>
      </c>
      <c r="B16" s="233" t="s">
        <v>543</v>
      </c>
      <c r="C16" s="233" t="s">
        <v>502</v>
      </c>
      <c r="D16" s="233" t="s">
        <v>544</v>
      </c>
      <c r="E16" s="233" t="s">
        <v>545</v>
      </c>
    </row>
    <row r="17" spans="1:5" ht="46" thickBot="1" x14ac:dyDescent="0.25">
      <c r="A17" s="302"/>
      <c r="B17" s="233" t="s">
        <v>546</v>
      </c>
      <c r="C17" s="233" t="s">
        <v>502</v>
      </c>
      <c r="D17" s="233" t="s">
        <v>547</v>
      </c>
      <c r="E17" s="233" t="s">
        <v>547</v>
      </c>
    </row>
    <row r="18" spans="1:5" ht="46" thickBot="1" x14ac:dyDescent="0.25">
      <c r="A18" s="302"/>
      <c r="B18" s="233" t="s">
        <v>548</v>
      </c>
      <c r="C18" s="233" t="s">
        <v>502</v>
      </c>
      <c r="D18" s="233" t="s">
        <v>549</v>
      </c>
      <c r="E18" s="233" t="s">
        <v>550</v>
      </c>
    </row>
    <row r="19" spans="1:5" ht="61" thickBot="1" x14ac:dyDescent="0.25">
      <c r="A19" s="302"/>
      <c r="B19" s="233" t="s">
        <v>551</v>
      </c>
      <c r="C19" s="233" t="s">
        <v>502</v>
      </c>
      <c r="D19" s="233" t="s">
        <v>552</v>
      </c>
      <c r="E19" s="233" t="s">
        <v>553</v>
      </c>
    </row>
    <row r="20" spans="1:5" ht="46" thickBot="1" x14ac:dyDescent="0.25">
      <c r="A20" s="302"/>
      <c r="B20" s="233" t="s">
        <v>554</v>
      </c>
      <c r="C20" s="233" t="s">
        <v>539</v>
      </c>
      <c r="D20" s="233" t="s">
        <v>555</v>
      </c>
      <c r="E20" s="233" t="s">
        <v>556</v>
      </c>
    </row>
    <row r="21" spans="1:5" ht="46" thickBot="1" x14ac:dyDescent="0.25">
      <c r="A21" s="303"/>
      <c r="B21" s="233" t="s">
        <v>557</v>
      </c>
      <c r="C21" s="233" t="s">
        <v>535</v>
      </c>
      <c r="D21" s="233" t="s">
        <v>558</v>
      </c>
      <c r="E21" s="233" t="s">
        <v>559</v>
      </c>
    </row>
    <row r="22" spans="1:5" ht="31" thickBot="1" x14ac:dyDescent="0.25">
      <c r="A22" s="301" t="s">
        <v>560</v>
      </c>
      <c r="B22" s="233" t="s">
        <v>543</v>
      </c>
      <c r="C22" s="233" t="s">
        <v>502</v>
      </c>
      <c r="D22" s="233" t="s">
        <v>544</v>
      </c>
      <c r="E22" s="233" t="s">
        <v>545</v>
      </c>
    </row>
    <row r="23" spans="1:5" ht="46" thickBot="1" x14ac:dyDescent="0.25">
      <c r="A23" s="302"/>
      <c r="B23" s="233" t="s">
        <v>546</v>
      </c>
      <c r="C23" s="233" t="s">
        <v>502</v>
      </c>
      <c r="D23" s="233" t="s">
        <v>547</v>
      </c>
      <c r="E23" s="233" t="s">
        <v>547</v>
      </c>
    </row>
    <row r="24" spans="1:5" ht="46" thickBot="1" x14ac:dyDescent="0.25">
      <c r="A24" s="302"/>
      <c r="B24" s="233" t="s">
        <v>548</v>
      </c>
      <c r="C24" s="233" t="s">
        <v>502</v>
      </c>
      <c r="D24" s="233" t="s">
        <v>549</v>
      </c>
      <c r="E24" s="233" t="s">
        <v>550</v>
      </c>
    </row>
    <row r="25" spans="1:5" ht="61" thickBot="1" x14ac:dyDescent="0.25">
      <c r="A25" s="302"/>
      <c r="B25" s="233" t="s">
        <v>551</v>
      </c>
      <c r="C25" s="233" t="s">
        <v>502</v>
      </c>
      <c r="D25" s="233" t="s">
        <v>552</v>
      </c>
      <c r="E25" s="233" t="s">
        <v>553</v>
      </c>
    </row>
    <row r="26" spans="1:5" ht="46" thickBot="1" x14ac:dyDescent="0.25">
      <c r="A26" s="302"/>
      <c r="B26" s="233" t="s">
        <v>554</v>
      </c>
      <c r="C26" s="233" t="s">
        <v>539</v>
      </c>
      <c r="D26" s="233" t="s">
        <v>555</v>
      </c>
      <c r="E26" s="233" t="s">
        <v>556</v>
      </c>
    </row>
    <row r="27" spans="1:5" ht="46" thickBot="1" x14ac:dyDescent="0.25">
      <c r="A27" s="303"/>
      <c r="B27" s="233" t="s">
        <v>557</v>
      </c>
      <c r="C27" s="233" t="s">
        <v>535</v>
      </c>
      <c r="D27" s="233" t="s">
        <v>558</v>
      </c>
      <c r="E27" s="233" t="s">
        <v>559</v>
      </c>
    </row>
    <row r="28" spans="1:5" ht="46" thickBot="1" x14ac:dyDescent="0.25">
      <c r="A28" s="301" t="s">
        <v>561</v>
      </c>
      <c r="B28" s="233" t="s">
        <v>562</v>
      </c>
      <c r="C28" s="233" t="s">
        <v>502</v>
      </c>
      <c r="D28" s="233" t="s">
        <v>563</v>
      </c>
      <c r="E28" s="233" t="s">
        <v>564</v>
      </c>
    </row>
    <row r="29" spans="1:5" ht="61" thickBot="1" x14ac:dyDescent="0.25">
      <c r="A29" s="302"/>
      <c r="B29" s="233" t="s">
        <v>565</v>
      </c>
      <c r="C29" s="233" t="s">
        <v>539</v>
      </c>
      <c r="D29" s="233" t="s">
        <v>566</v>
      </c>
      <c r="E29" s="233" t="s">
        <v>567</v>
      </c>
    </row>
    <row r="30" spans="1:5" ht="61" thickBot="1" x14ac:dyDescent="0.25">
      <c r="A30" s="302"/>
      <c r="B30" s="233" t="s">
        <v>568</v>
      </c>
      <c r="C30" s="233" t="s">
        <v>535</v>
      </c>
      <c r="D30" s="233" t="s">
        <v>569</v>
      </c>
      <c r="E30" s="233" t="s">
        <v>570</v>
      </c>
    </row>
    <row r="31" spans="1:5" ht="61" thickBot="1" x14ac:dyDescent="0.25">
      <c r="A31" s="302"/>
      <c r="B31" s="233" t="s">
        <v>571</v>
      </c>
      <c r="C31" s="233" t="s">
        <v>502</v>
      </c>
      <c r="D31" s="233" t="s">
        <v>572</v>
      </c>
      <c r="E31" s="233" t="s">
        <v>573</v>
      </c>
    </row>
    <row r="32" spans="1:5" ht="61" thickBot="1" x14ac:dyDescent="0.25">
      <c r="A32" s="302"/>
      <c r="B32" s="233" t="s">
        <v>574</v>
      </c>
      <c r="C32" s="233" t="s">
        <v>539</v>
      </c>
      <c r="D32" s="233" t="s">
        <v>575</v>
      </c>
      <c r="E32" s="233" t="s">
        <v>576</v>
      </c>
    </row>
    <row r="33" spans="1:5" ht="61" thickBot="1" x14ac:dyDescent="0.25">
      <c r="A33" s="302"/>
      <c r="B33" s="233" t="s">
        <v>577</v>
      </c>
      <c r="C33" s="233" t="s">
        <v>535</v>
      </c>
      <c r="D33" s="233" t="s">
        <v>578</v>
      </c>
      <c r="E33" s="233" t="s">
        <v>579</v>
      </c>
    </row>
    <row r="34" spans="1:5" ht="31" thickBot="1" x14ac:dyDescent="0.25">
      <c r="A34" s="302"/>
      <c r="B34" s="233" t="s">
        <v>580</v>
      </c>
      <c r="C34" s="233" t="s">
        <v>502</v>
      </c>
      <c r="D34" s="233" t="s">
        <v>581</v>
      </c>
      <c r="E34" s="233" t="s">
        <v>582</v>
      </c>
    </row>
    <row r="35" spans="1:5" ht="46" thickBot="1" x14ac:dyDescent="0.25">
      <c r="A35" s="302"/>
      <c r="B35" s="233" t="s">
        <v>583</v>
      </c>
      <c r="C35" s="233" t="s">
        <v>502</v>
      </c>
      <c r="D35" s="233" t="s">
        <v>584</v>
      </c>
      <c r="E35" s="233" t="s">
        <v>585</v>
      </c>
    </row>
    <row r="36" spans="1:5" ht="61" thickBot="1" x14ac:dyDescent="0.25">
      <c r="A36" s="302"/>
      <c r="B36" s="233" t="s">
        <v>586</v>
      </c>
      <c r="C36" s="233" t="s">
        <v>502</v>
      </c>
      <c r="D36" s="233" t="s">
        <v>587</v>
      </c>
      <c r="E36" s="233" t="s">
        <v>588</v>
      </c>
    </row>
    <row r="37" spans="1:5" ht="46" thickBot="1" x14ac:dyDescent="0.25">
      <c r="A37" s="303"/>
      <c r="B37" s="233" t="s">
        <v>589</v>
      </c>
      <c r="C37" s="233" t="s">
        <v>502</v>
      </c>
      <c r="D37" s="233" t="s">
        <v>590</v>
      </c>
      <c r="E37" s="233" t="s">
        <v>591</v>
      </c>
    </row>
    <row r="38" spans="1:5" ht="46" thickBot="1" x14ac:dyDescent="0.25">
      <c r="A38" s="301" t="s">
        <v>592</v>
      </c>
      <c r="B38" s="233" t="s">
        <v>477</v>
      </c>
      <c r="C38" s="233" t="s">
        <v>502</v>
      </c>
      <c r="D38" s="233" t="s">
        <v>478</v>
      </c>
      <c r="E38" s="233" t="s">
        <v>593</v>
      </c>
    </row>
    <row r="39" spans="1:5" ht="46" thickBot="1" x14ac:dyDescent="0.25">
      <c r="A39" s="302"/>
      <c r="B39" s="233" t="s">
        <v>479</v>
      </c>
      <c r="C39" s="233" t="s">
        <v>502</v>
      </c>
      <c r="D39" s="233" t="s">
        <v>480</v>
      </c>
      <c r="E39" s="233" t="s">
        <v>594</v>
      </c>
    </row>
    <row r="40" spans="1:5" ht="61" thickBot="1" x14ac:dyDescent="0.25">
      <c r="A40" s="302"/>
      <c r="B40" s="233" t="s">
        <v>481</v>
      </c>
      <c r="C40" s="233" t="s">
        <v>539</v>
      </c>
      <c r="D40" s="233" t="s">
        <v>482</v>
      </c>
      <c r="E40" s="233" t="s">
        <v>595</v>
      </c>
    </row>
    <row r="41" spans="1:5" ht="46" thickBot="1" x14ac:dyDescent="0.25">
      <c r="A41" s="302"/>
      <c r="B41" s="233" t="s">
        <v>483</v>
      </c>
      <c r="C41" s="233" t="s">
        <v>502</v>
      </c>
      <c r="D41" s="233" t="s">
        <v>484</v>
      </c>
      <c r="E41" s="233" t="s">
        <v>596</v>
      </c>
    </row>
    <row r="42" spans="1:5" ht="31" thickBot="1" x14ac:dyDescent="0.25">
      <c r="A42" s="302"/>
      <c r="B42" s="233" t="s">
        <v>485</v>
      </c>
      <c r="C42" s="233" t="s">
        <v>502</v>
      </c>
      <c r="D42" s="233" t="s">
        <v>486</v>
      </c>
      <c r="E42" s="233" t="s">
        <v>597</v>
      </c>
    </row>
    <row r="43" spans="1:5" ht="46" thickBot="1" x14ac:dyDescent="0.25">
      <c r="A43" s="302"/>
      <c r="B43" s="233" t="s">
        <v>487</v>
      </c>
      <c r="C43" s="233" t="s">
        <v>502</v>
      </c>
      <c r="D43" s="233" t="s">
        <v>488</v>
      </c>
      <c r="E43" s="233" t="s">
        <v>598</v>
      </c>
    </row>
    <row r="44" spans="1:5" ht="46" thickBot="1" x14ac:dyDescent="0.25">
      <c r="A44" s="303"/>
      <c r="B44" s="233" t="s">
        <v>489</v>
      </c>
      <c r="C44" s="233" t="s">
        <v>502</v>
      </c>
      <c r="D44" s="233" t="s">
        <v>490</v>
      </c>
      <c r="E44" s="233" t="s">
        <v>599</v>
      </c>
    </row>
    <row r="45" spans="1:5" ht="31" thickBot="1" x14ac:dyDescent="0.25">
      <c r="A45" s="234"/>
      <c r="B45" s="232" t="s">
        <v>600</v>
      </c>
      <c r="C45" s="232" t="s">
        <v>514</v>
      </c>
      <c r="D45" s="232" t="s">
        <v>601</v>
      </c>
      <c r="E45" s="232" t="s">
        <v>602</v>
      </c>
    </row>
    <row r="46" spans="1:5" ht="46" thickBot="1" x14ac:dyDescent="0.25">
      <c r="A46" s="146" t="s">
        <v>603</v>
      </c>
      <c r="B46" s="235" t="s">
        <v>604</v>
      </c>
      <c r="C46" s="236" t="s">
        <v>605</v>
      </c>
      <c r="D46" s="237" t="s">
        <v>379</v>
      </c>
      <c r="E46" s="238" t="s">
        <v>606</v>
      </c>
    </row>
  </sheetData>
  <mergeCells count="15">
    <mergeCell ref="A38:A44"/>
    <mergeCell ref="E7:E8"/>
    <mergeCell ref="A9:A12"/>
    <mergeCell ref="A13:A15"/>
    <mergeCell ref="A16:A21"/>
    <mergeCell ref="A22:A27"/>
    <mergeCell ref="A28:A37"/>
    <mergeCell ref="A6:A8"/>
    <mergeCell ref="B7:B8"/>
    <mergeCell ref="C7:C8"/>
    <mergeCell ref="A2:A5"/>
    <mergeCell ref="B2:B3"/>
    <mergeCell ref="C2:C3"/>
    <mergeCell ref="B4:B5"/>
    <mergeCell ref="C4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AD5D-4B67-6D42-92C4-150AB6C08BBC}">
  <dimension ref="C2:N32"/>
  <sheetViews>
    <sheetView topLeftCell="C1" workbookViewId="0">
      <selection activeCell="L44" sqref="L44"/>
    </sheetView>
  </sheetViews>
  <sheetFormatPr baseColWidth="10" defaultRowHeight="15" x14ac:dyDescent="0.2"/>
  <cols>
    <col min="3" max="3" width="43.5" bestFit="1" customWidth="1"/>
    <col min="4" max="4" width="21.83203125" bestFit="1" customWidth="1"/>
    <col min="5" max="5" width="24.1640625" bestFit="1" customWidth="1"/>
  </cols>
  <sheetData>
    <row r="2" spans="3:14" ht="16" thickBot="1" x14ac:dyDescent="0.25"/>
    <row r="3" spans="3:14" ht="15" customHeight="1" x14ac:dyDescent="0.2">
      <c r="C3" s="304"/>
      <c r="D3" s="316"/>
      <c r="E3" s="308" t="s">
        <v>297</v>
      </c>
      <c r="F3" s="310" t="s">
        <v>298</v>
      </c>
      <c r="G3" s="311"/>
      <c r="H3" s="311"/>
      <c r="I3" s="319"/>
      <c r="J3" s="320" t="s">
        <v>299</v>
      </c>
      <c r="K3" s="313"/>
      <c r="L3" s="313"/>
      <c r="M3" s="313"/>
      <c r="N3" s="321"/>
    </row>
    <row r="4" spans="3:14" ht="16" thickBot="1" x14ac:dyDescent="0.25">
      <c r="C4" s="315"/>
      <c r="D4" s="317"/>
      <c r="E4" s="318"/>
      <c r="F4" s="122" t="s">
        <v>300</v>
      </c>
      <c r="G4" s="123" t="s">
        <v>301</v>
      </c>
      <c r="H4" s="124" t="s">
        <v>302</v>
      </c>
      <c r="I4" s="125" t="s">
        <v>303</v>
      </c>
      <c r="J4" s="123" t="s">
        <v>304</v>
      </c>
      <c r="K4" s="123" t="s">
        <v>305</v>
      </c>
      <c r="L4" s="124" t="s">
        <v>306</v>
      </c>
      <c r="M4" s="126" t="s">
        <v>307</v>
      </c>
      <c r="N4" s="125" t="s">
        <v>308</v>
      </c>
    </row>
    <row r="5" spans="3:14" x14ac:dyDescent="0.2">
      <c r="C5" s="19" t="s">
        <v>378</v>
      </c>
      <c r="D5" s="132" t="s">
        <v>392</v>
      </c>
      <c r="E5" s="133" t="s">
        <v>379</v>
      </c>
      <c r="F5" s="134">
        <v>0.61399999999999999</v>
      </c>
      <c r="G5" s="31">
        <v>0.57899999999999996</v>
      </c>
      <c r="H5" s="23">
        <v>1.43</v>
      </c>
      <c r="I5" s="32">
        <v>4.1000000000000002E-2</v>
      </c>
      <c r="J5" s="266"/>
      <c r="K5" s="266"/>
      <c r="L5" s="267"/>
      <c r="M5" s="268"/>
      <c r="N5" s="269"/>
    </row>
    <row r="6" spans="3:14" x14ac:dyDescent="0.2">
      <c r="C6" s="12" t="s">
        <v>384</v>
      </c>
      <c r="D6" s="127" t="s">
        <v>380</v>
      </c>
      <c r="E6" s="128"/>
      <c r="F6" s="131">
        <v>0.92700000000000005</v>
      </c>
      <c r="G6" s="36">
        <v>0.60899999999999999</v>
      </c>
      <c r="H6" s="86" t="s">
        <v>394</v>
      </c>
      <c r="I6" s="37">
        <v>0.27200000000000002</v>
      </c>
      <c r="J6" s="270"/>
      <c r="K6" s="271"/>
      <c r="L6" s="272"/>
      <c r="M6" s="273"/>
      <c r="N6" s="274"/>
    </row>
    <row r="7" spans="3:14" x14ac:dyDescent="0.2">
      <c r="C7" s="12"/>
      <c r="D7" s="127" t="s">
        <v>381</v>
      </c>
      <c r="E7" s="128" t="s">
        <v>382</v>
      </c>
      <c r="F7" s="131">
        <v>0.13400000000000001</v>
      </c>
      <c r="G7" s="36">
        <v>0.30099999999999999</v>
      </c>
      <c r="H7" s="86" t="s">
        <v>395</v>
      </c>
      <c r="I7" s="37">
        <v>-0.23300000000000001</v>
      </c>
      <c r="J7" s="270"/>
      <c r="K7" s="271"/>
      <c r="L7" s="272"/>
      <c r="M7" s="273"/>
      <c r="N7" s="274"/>
    </row>
    <row r="8" spans="3:14" x14ac:dyDescent="0.2">
      <c r="C8" s="19"/>
      <c r="D8" s="132" t="s">
        <v>383</v>
      </c>
      <c r="E8" s="133"/>
      <c r="F8" s="172">
        <v>1.427</v>
      </c>
      <c r="G8" s="91">
        <v>1.649</v>
      </c>
      <c r="H8" s="92" t="s">
        <v>396</v>
      </c>
      <c r="I8" s="95">
        <v>-0.155</v>
      </c>
      <c r="J8" s="275"/>
      <c r="K8" s="276"/>
      <c r="L8" s="277"/>
      <c r="M8" s="278"/>
      <c r="N8" s="279"/>
    </row>
    <row r="9" spans="3:14" x14ac:dyDescent="0.2">
      <c r="C9" s="12" t="s">
        <v>386</v>
      </c>
      <c r="D9" s="127" t="s">
        <v>380</v>
      </c>
      <c r="E9" s="128"/>
      <c r="F9" s="131">
        <v>0.61699999999999999</v>
      </c>
      <c r="G9" s="36">
        <v>0.30199999999999999</v>
      </c>
      <c r="H9" s="15" t="s">
        <v>397</v>
      </c>
      <c r="I9" s="37">
        <v>0.27</v>
      </c>
      <c r="J9" s="270"/>
      <c r="K9" s="271"/>
      <c r="L9" s="272"/>
      <c r="M9" s="273"/>
      <c r="N9" s="274"/>
    </row>
    <row r="10" spans="3:14" x14ac:dyDescent="0.2">
      <c r="C10" s="12"/>
      <c r="D10" s="127" t="s">
        <v>381</v>
      </c>
      <c r="E10" s="128" t="s">
        <v>382</v>
      </c>
      <c r="F10" s="131">
        <v>6.7000000000000004E-2</v>
      </c>
      <c r="G10" s="36">
        <v>0.17799999999999999</v>
      </c>
      <c r="H10" s="86" t="s">
        <v>398</v>
      </c>
      <c r="I10" s="37">
        <v>-0.156</v>
      </c>
      <c r="J10" s="270"/>
      <c r="K10" s="271"/>
      <c r="L10" s="272"/>
      <c r="M10" s="273"/>
      <c r="N10" s="274"/>
    </row>
    <row r="11" spans="3:14" x14ac:dyDescent="0.2">
      <c r="C11" s="19"/>
      <c r="D11" s="132" t="s">
        <v>383</v>
      </c>
      <c r="E11" s="133" t="s">
        <v>385</v>
      </c>
      <c r="F11" s="134">
        <v>0.79</v>
      </c>
      <c r="G11" s="31">
        <v>0.89300000000000002</v>
      </c>
      <c r="H11" s="88" t="s">
        <v>399</v>
      </c>
      <c r="I11" s="32">
        <v>-2.9000000000000001E-2</v>
      </c>
      <c r="J11" s="275"/>
      <c r="K11" s="276"/>
      <c r="L11" s="277"/>
      <c r="M11" s="278"/>
      <c r="N11" s="279"/>
    </row>
    <row r="12" spans="3:14" x14ac:dyDescent="0.2">
      <c r="C12" s="12" t="s">
        <v>387</v>
      </c>
      <c r="D12" s="127" t="s">
        <v>380</v>
      </c>
      <c r="E12" s="128"/>
      <c r="F12" s="129">
        <v>0.309</v>
      </c>
      <c r="G12" s="28">
        <v>0.307</v>
      </c>
      <c r="H12" s="29">
        <v>5.7000000000000002E-2</v>
      </c>
      <c r="I12" s="30">
        <v>-1.9E-2</v>
      </c>
      <c r="J12" s="270"/>
      <c r="K12" s="271"/>
      <c r="L12" s="272"/>
      <c r="M12" s="273"/>
      <c r="N12" s="274"/>
    </row>
    <row r="13" spans="3:14" x14ac:dyDescent="0.2">
      <c r="C13" s="12"/>
      <c r="D13" s="127" t="s">
        <v>381</v>
      </c>
      <c r="E13" s="128" t="s">
        <v>382</v>
      </c>
      <c r="F13" s="131">
        <v>6.6000000000000003E-2</v>
      </c>
      <c r="G13" s="36">
        <v>0.122</v>
      </c>
      <c r="H13" s="86" t="s">
        <v>400</v>
      </c>
      <c r="I13" s="37">
        <v>-8.8999999999999996E-2</v>
      </c>
      <c r="J13" s="270"/>
      <c r="K13" s="271"/>
      <c r="L13" s="272"/>
      <c r="M13" s="273"/>
      <c r="N13" s="274"/>
    </row>
    <row r="14" spans="3:14" x14ac:dyDescent="0.2">
      <c r="C14" s="19"/>
      <c r="D14" s="132" t="s">
        <v>383</v>
      </c>
      <c r="E14" s="133" t="s">
        <v>385</v>
      </c>
      <c r="F14" s="172">
        <v>0.63700000000000001</v>
      </c>
      <c r="G14" s="91">
        <v>0.75600000000000001</v>
      </c>
      <c r="H14" s="92" t="s">
        <v>401</v>
      </c>
      <c r="I14" s="95">
        <v>-0.122</v>
      </c>
      <c r="J14" s="275"/>
      <c r="K14" s="276"/>
      <c r="L14" s="277"/>
      <c r="M14" s="278"/>
      <c r="N14" s="279"/>
    </row>
    <row r="15" spans="3:14" x14ac:dyDescent="0.2">
      <c r="C15" s="12" t="s">
        <v>403</v>
      </c>
      <c r="D15" s="127" t="s">
        <v>380</v>
      </c>
      <c r="E15" s="128" t="s">
        <v>382</v>
      </c>
      <c r="F15" s="171">
        <v>4747.1840000000002</v>
      </c>
      <c r="G15" s="83">
        <v>1052.028</v>
      </c>
      <c r="H15" s="173" t="s">
        <v>407</v>
      </c>
      <c r="I15" s="85">
        <v>503.99099999999999</v>
      </c>
      <c r="J15" s="270"/>
      <c r="K15" s="270"/>
      <c r="L15" s="280"/>
      <c r="M15" s="281"/>
      <c r="N15" s="282"/>
    </row>
    <row r="16" spans="3:14" x14ac:dyDescent="0.2">
      <c r="C16" s="12"/>
      <c r="D16" s="127" t="s">
        <v>381</v>
      </c>
      <c r="E16" s="128" t="s">
        <v>389</v>
      </c>
      <c r="F16" s="171">
        <v>222.47900000000001</v>
      </c>
      <c r="G16" s="83">
        <v>460.39299999999997</v>
      </c>
      <c r="H16" s="84" t="s">
        <v>408</v>
      </c>
      <c r="I16" s="85">
        <v>-821.65300000000002</v>
      </c>
      <c r="J16" s="270"/>
      <c r="K16" s="270"/>
      <c r="L16" s="280"/>
      <c r="M16" s="281"/>
      <c r="N16" s="282"/>
    </row>
    <row r="17" spans="3:14" ht="16" thickBot="1" x14ac:dyDescent="0.25">
      <c r="C17" s="73"/>
      <c r="D17" s="135" t="s">
        <v>390</v>
      </c>
      <c r="E17" s="136"/>
      <c r="F17" s="174">
        <v>4340.5420000000004</v>
      </c>
      <c r="G17" s="175">
        <v>2854.4059999999999</v>
      </c>
      <c r="H17" s="176" t="s">
        <v>409</v>
      </c>
      <c r="I17" s="177">
        <v>-376.24400000000003</v>
      </c>
      <c r="J17" s="283"/>
      <c r="K17" s="283"/>
      <c r="L17" s="284"/>
      <c r="M17" s="285"/>
      <c r="N17" s="286"/>
    </row>
    <row r="18" spans="3:14" x14ac:dyDescent="0.2">
      <c r="C18" s="12" t="s">
        <v>404</v>
      </c>
      <c r="D18" s="127" t="s">
        <v>380</v>
      </c>
      <c r="E18" s="128" t="s">
        <v>382</v>
      </c>
      <c r="F18" s="129">
        <v>1409.3019999999999</v>
      </c>
      <c r="G18" s="28">
        <v>928.38530000000003</v>
      </c>
      <c r="H18" s="29">
        <v>1.589</v>
      </c>
      <c r="I18" s="30">
        <v>503.99099999999999</v>
      </c>
      <c r="J18" s="270"/>
      <c r="K18" s="270"/>
      <c r="L18" s="280"/>
      <c r="M18" s="281"/>
      <c r="N18" s="282"/>
    </row>
    <row r="19" spans="3:14" x14ac:dyDescent="0.2">
      <c r="C19" s="12"/>
      <c r="D19" s="127" t="s">
        <v>381</v>
      </c>
      <c r="E19" s="128" t="s">
        <v>389</v>
      </c>
      <c r="F19" s="171">
        <v>118.316</v>
      </c>
      <c r="G19" s="83">
        <v>334.36700000000002</v>
      </c>
      <c r="H19" s="84" t="s">
        <v>410</v>
      </c>
      <c r="I19" s="85">
        <v>-821.65300000000002</v>
      </c>
      <c r="J19" s="270"/>
      <c r="K19" s="270"/>
      <c r="L19" s="280"/>
      <c r="M19" s="281"/>
      <c r="N19" s="282"/>
    </row>
    <row r="20" spans="3:14" ht="16" thickBot="1" x14ac:dyDescent="0.25">
      <c r="C20" s="73"/>
      <c r="D20" s="135" t="s">
        <v>390</v>
      </c>
      <c r="E20" s="136"/>
      <c r="F20" s="137">
        <v>1854.1369999999999</v>
      </c>
      <c r="G20" s="39">
        <v>1790.2249999999999</v>
      </c>
      <c r="H20" s="90" t="s">
        <v>411</v>
      </c>
      <c r="I20" s="40">
        <v>-376.24400000000003</v>
      </c>
      <c r="J20" s="283"/>
      <c r="K20" s="283"/>
      <c r="L20" s="284"/>
      <c r="M20" s="285"/>
      <c r="N20" s="286"/>
    </row>
    <row r="21" spans="3:14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3" spans="3:14" ht="16" thickBot="1" x14ac:dyDescent="0.25"/>
    <row r="24" spans="3:14" x14ac:dyDescent="0.2">
      <c r="C24" s="304"/>
      <c r="D24" s="306"/>
      <c r="E24" s="308" t="s">
        <v>297</v>
      </c>
      <c r="F24" s="310" t="s">
        <v>298</v>
      </c>
      <c r="G24" s="311"/>
      <c r="H24" s="311"/>
      <c r="I24" s="312"/>
      <c r="J24" s="313" t="s">
        <v>299</v>
      </c>
      <c r="K24" s="313"/>
      <c r="L24" s="313"/>
      <c r="M24" s="313"/>
      <c r="N24" s="314"/>
    </row>
    <row r="25" spans="3:14" x14ac:dyDescent="0.2">
      <c r="C25" s="305"/>
      <c r="D25" s="307"/>
      <c r="E25" s="309"/>
      <c r="F25" s="138" t="s">
        <v>300</v>
      </c>
      <c r="G25" s="3" t="s">
        <v>301</v>
      </c>
      <c r="H25" s="4" t="s">
        <v>302</v>
      </c>
      <c r="I25" s="5" t="s">
        <v>303</v>
      </c>
      <c r="J25" s="3" t="s">
        <v>304</v>
      </c>
      <c r="K25" s="139" t="s">
        <v>305</v>
      </c>
      <c r="L25" s="3" t="s">
        <v>306</v>
      </c>
      <c r="M25" s="139" t="s">
        <v>307</v>
      </c>
      <c r="N25" s="5" t="s">
        <v>308</v>
      </c>
    </row>
    <row r="26" spans="3:14" x14ac:dyDescent="0.2">
      <c r="C26" s="19" t="s">
        <v>414</v>
      </c>
      <c r="D26" s="157" t="s">
        <v>391</v>
      </c>
      <c r="E26" s="21"/>
      <c r="F26" s="140">
        <v>2.5110000000000001</v>
      </c>
      <c r="G26" s="133">
        <v>2.5840000000000001</v>
      </c>
      <c r="H26" s="147" t="s">
        <v>393</v>
      </c>
      <c r="I26" s="142">
        <f>F26-G26</f>
        <v>-7.2999999999999954E-2</v>
      </c>
      <c r="J26" s="287"/>
      <c r="K26" s="288"/>
      <c r="L26" s="287"/>
      <c r="M26" s="287"/>
      <c r="N26" s="289"/>
    </row>
    <row r="27" spans="3:14" x14ac:dyDescent="0.2">
      <c r="C27" s="12" t="s">
        <v>412</v>
      </c>
      <c r="D27" s="10" t="s">
        <v>391</v>
      </c>
      <c r="E27" s="9" t="s">
        <v>385</v>
      </c>
      <c r="F27" s="140">
        <v>1.4750000000000001</v>
      </c>
      <c r="G27" s="133">
        <v>1.373</v>
      </c>
      <c r="H27" s="141">
        <v>1.1970000000000001</v>
      </c>
      <c r="I27" s="142">
        <f t="shared" ref="I27:I32" si="0">F27-G27</f>
        <v>0.10200000000000009</v>
      </c>
      <c r="J27" s="290"/>
      <c r="K27" s="291"/>
      <c r="L27" s="290"/>
      <c r="M27" s="290"/>
      <c r="N27" s="292"/>
    </row>
    <row r="28" spans="3:14" x14ac:dyDescent="0.2">
      <c r="C28" s="12" t="s">
        <v>413</v>
      </c>
      <c r="D28" s="157" t="s">
        <v>391</v>
      </c>
      <c r="E28" s="21" t="s">
        <v>385</v>
      </c>
      <c r="F28" s="144">
        <v>1.0129999999999999</v>
      </c>
      <c r="G28" s="145">
        <v>1.1859999999999999</v>
      </c>
      <c r="H28" s="148" t="s">
        <v>402</v>
      </c>
      <c r="I28" s="162">
        <f t="shared" si="0"/>
        <v>-0.17300000000000004</v>
      </c>
      <c r="J28" s="287"/>
      <c r="K28" s="288"/>
      <c r="L28" s="287"/>
      <c r="M28" s="287"/>
      <c r="N28" s="289"/>
    </row>
    <row r="29" spans="3:14" ht="16" x14ac:dyDescent="0.2">
      <c r="C29" s="138" t="s">
        <v>388</v>
      </c>
      <c r="D29" s="4" t="s">
        <v>391</v>
      </c>
      <c r="E29" s="63" t="s">
        <v>389</v>
      </c>
      <c r="F29" s="150">
        <v>5333.0010000000002</v>
      </c>
      <c r="G29" s="151">
        <v>4934.5460000000003</v>
      </c>
      <c r="H29" s="152">
        <v>0.66</v>
      </c>
      <c r="I29" s="153">
        <f t="shared" si="0"/>
        <v>398.45499999999993</v>
      </c>
      <c r="J29" s="293"/>
      <c r="K29" s="294"/>
      <c r="L29" s="293"/>
      <c r="M29" s="293"/>
      <c r="N29" s="295"/>
    </row>
    <row r="30" spans="3:14" x14ac:dyDescent="0.2">
      <c r="C30" s="12" t="s">
        <v>405</v>
      </c>
      <c r="D30" s="160" t="s">
        <v>391</v>
      </c>
      <c r="E30" s="63" t="s">
        <v>389</v>
      </c>
      <c r="F30" s="163">
        <v>9333.0049999999992</v>
      </c>
      <c r="G30" s="164">
        <v>4375.7849999999999</v>
      </c>
      <c r="H30" s="165" t="s">
        <v>416</v>
      </c>
      <c r="I30" s="166">
        <f t="shared" si="0"/>
        <v>4957.2199999999993</v>
      </c>
      <c r="J30" s="296"/>
      <c r="K30" s="296"/>
      <c r="L30" s="296"/>
      <c r="M30" s="296"/>
      <c r="N30" s="297"/>
    </row>
    <row r="31" spans="3:14" x14ac:dyDescent="0.2">
      <c r="C31" s="12" t="s">
        <v>406</v>
      </c>
      <c r="D31" s="149" t="s">
        <v>391</v>
      </c>
      <c r="E31" s="9" t="s">
        <v>389</v>
      </c>
      <c r="F31" s="154">
        <v>3425.56</v>
      </c>
      <c r="G31" s="155">
        <v>3133.259</v>
      </c>
      <c r="H31" s="44">
        <v>0.66900000000000004</v>
      </c>
      <c r="I31" s="143">
        <f t="shared" si="0"/>
        <v>292.30099999999993</v>
      </c>
      <c r="J31" s="296"/>
      <c r="K31" s="296"/>
      <c r="L31" s="296"/>
      <c r="M31" s="296"/>
      <c r="N31" s="297"/>
    </row>
    <row r="32" spans="3:14" ht="16" thickBot="1" x14ac:dyDescent="0.25">
      <c r="C32" s="159" t="s">
        <v>415</v>
      </c>
      <c r="D32" s="161" t="s">
        <v>391</v>
      </c>
      <c r="E32" s="76" t="s">
        <v>389</v>
      </c>
      <c r="F32" s="167">
        <v>12758.56</v>
      </c>
      <c r="G32" s="168">
        <v>7509.0439999999999</v>
      </c>
      <c r="H32" s="169" t="s">
        <v>417</v>
      </c>
      <c r="I32" s="170">
        <f t="shared" si="0"/>
        <v>5249.5159999999996</v>
      </c>
      <c r="J32" s="298"/>
      <c r="K32" s="298"/>
      <c r="L32" s="298"/>
      <c r="M32" s="298"/>
      <c r="N32" s="299"/>
    </row>
  </sheetData>
  <mergeCells count="10">
    <mergeCell ref="C3:C4"/>
    <mergeCell ref="D3:D4"/>
    <mergeCell ref="E3:E4"/>
    <mergeCell ref="F3:I3"/>
    <mergeCell ref="J3:N3"/>
    <mergeCell ref="C24:C25"/>
    <mergeCell ref="D24:D25"/>
    <mergeCell ref="E24:E25"/>
    <mergeCell ref="F24:I24"/>
    <mergeCell ref="J24:N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986F-0A0F-5E4B-8533-6A6BA5E95858}">
  <dimension ref="B3:N79"/>
  <sheetViews>
    <sheetView topLeftCell="A52" workbookViewId="0">
      <selection activeCell="J14" sqref="J14"/>
    </sheetView>
  </sheetViews>
  <sheetFormatPr baseColWidth="10" defaultRowHeight="15" x14ac:dyDescent="0.2"/>
  <cols>
    <col min="4" max="4" width="12.6640625" bestFit="1" customWidth="1"/>
    <col min="5" max="5" width="31.33203125" bestFit="1" customWidth="1"/>
    <col min="9" max="9" width="12.6640625" bestFit="1" customWidth="1"/>
  </cols>
  <sheetData>
    <row r="3" spans="2:14" ht="16" thickBot="1" x14ac:dyDescent="0.25"/>
    <row r="4" spans="2:14" ht="15" customHeight="1" x14ac:dyDescent="0.2">
      <c r="B4" s="325"/>
      <c r="C4" s="326"/>
      <c r="D4" s="327"/>
      <c r="E4" s="308" t="s">
        <v>297</v>
      </c>
      <c r="F4" s="310" t="s">
        <v>298</v>
      </c>
      <c r="G4" s="311"/>
      <c r="H4" s="311"/>
      <c r="I4" s="319"/>
      <c r="J4" s="331" t="s">
        <v>299</v>
      </c>
      <c r="K4" s="332"/>
      <c r="L4" s="332"/>
      <c r="M4" s="332"/>
      <c r="N4" s="333"/>
    </row>
    <row r="5" spans="2:14" x14ac:dyDescent="0.2">
      <c r="B5" s="328"/>
      <c r="C5" s="329"/>
      <c r="D5" s="330"/>
      <c r="E5" s="309"/>
      <c r="F5" s="3" t="s">
        <v>300</v>
      </c>
      <c r="G5" s="3" t="s">
        <v>301</v>
      </c>
      <c r="H5" s="4" t="s">
        <v>302</v>
      </c>
      <c r="I5" s="5" t="s">
        <v>303</v>
      </c>
      <c r="J5" s="6" t="s">
        <v>304</v>
      </c>
      <c r="K5" s="7" t="s">
        <v>305</v>
      </c>
      <c r="L5" s="6" t="s">
        <v>306</v>
      </c>
      <c r="M5" s="7" t="s">
        <v>307</v>
      </c>
      <c r="N5" s="8" t="s">
        <v>308</v>
      </c>
    </row>
    <row r="6" spans="2:14" x14ac:dyDescent="0.2">
      <c r="B6" s="334" t="s">
        <v>309</v>
      </c>
      <c r="C6" s="335"/>
      <c r="D6" s="336"/>
      <c r="E6" s="9"/>
      <c r="F6" s="2"/>
      <c r="G6" s="2"/>
      <c r="H6" s="10"/>
      <c r="I6" s="11"/>
      <c r="J6" s="6"/>
      <c r="K6" s="7"/>
      <c r="L6" s="6"/>
      <c r="M6" s="6"/>
      <c r="N6" s="8"/>
    </row>
    <row r="7" spans="2:14" x14ac:dyDescent="0.2">
      <c r="B7" s="12"/>
      <c r="C7" s="2"/>
      <c r="D7" s="2" t="s">
        <v>310</v>
      </c>
      <c r="E7" s="9" t="s">
        <v>311</v>
      </c>
      <c r="F7" s="14">
        <f>105000000</f>
        <v>105000000</v>
      </c>
      <c r="G7" s="14">
        <v>5285958</v>
      </c>
      <c r="H7" s="15" t="s">
        <v>342</v>
      </c>
      <c r="I7" s="85">
        <f>F7-G7</f>
        <v>99714042</v>
      </c>
      <c r="J7" s="16"/>
      <c r="K7" s="17"/>
      <c r="L7" s="16"/>
      <c r="M7" s="16"/>
      <c r="N7" s="18"/>
    </row>
    <row r="8" spans="2:14" x14ac:dyDescent="0.2">
      <c r="B8" s="12"/>
      <c r="C8" s="2"/>
      <c r="D8" s="2" t="s">
        <v>312</v>
      </c>
      <c r="E8" s="9" t="s">
        <v>313</v>
      </c>
      <c r="F8" s="14">
        <v>101000000</v>
      </c>
      <c r="G8" s="14">
        <v>5094575</v>
      </c>
      <c r="H8" s="15" t="s">
        <v>343</v>
      </c>
      <c r="I8" s="85">
        <f t="shared" ref="I8:I51" si="0">F8-G8</f>
        <v>95905425</v>
      </c>
      <c r="J8" s="16"/>
      <c r="K8" s="17"/>
      <c r="L8" s="16"/>
      <c r="M8" s="16"/>
      <c r="N8" s="18"/>
    </row>
    <row r="9" spans="2:14" x14ac:dyDescent="0.2">
      <c r="B9" s="19"/>
      <c r="C9" s="20"/>
      <c r="D9" s="20" t="s">
        <v>314</v>
      </c>
      <c r="E9" s="21" t="s">
        <v>315</v>
      </c>
      <c r="F9" s="22">
        <v>4173608</v>
      </c>
      <c r="G9" s="22">
        <v>187677.2</v>
      </c>
      <c r="H9" s="23">
        <v>1.0580000000000001</v>
      </c>
      <c r="I9" s="93">
        <f t="shared" si="0"/>
        <v>3985930.8</v>
      </c>
      <c r="J9" s="24"/>
      <c r="K9" s="25"/>
      <c r="L9" s="24"/>
      <c r="M9" s="24"/>
      <c r="N9" s="26"/>
    </row>
    <row r="10" spans="2:14" x14ac:dyDescent="0.2">
      <c r="B10" s="12" t="s">
        <v>316</v>
      </c>
      <c r="C10" s="2" t="s">
        <v>317</v>
      </c>
      <c r="D10" s="2" t="s">
        <v>310</v>
      </c>
      <c r="E10" s="9" t="s">
        <v>311</v>
      </c>
      <c r="F10" s="28">
        <v>41115.5</v>
      </c>
      <c r="G10" s="28">
        <v>13818.7</v>
      </c>
      <c r="H10" s="29">
        <v>0.97899999999999998</v>
      </c>
      <c r="I10" s="94">
        <f t="shared" si="0"/>
        <v>27296.799999999999</v>
      </c>
      <c r="J10" s="16"/>
      <c r="K10" s="17"/>
      <c r="L10" s="16"/>
      <c r="M10" s="16"/>
      <c r="N10" s="18"/>
    </row>
    <row r="11" spans="2:14" x14ac:dyDescent="0.2">
      <c r="B11" s="12"/>
      <c r="C11" s="2"/>
      <c r="D11" s="2" t="s">
        <v>312</v>
      </c>
      <c r="E11" s="9" t="s">
        <v>313</v>
      </c>
      <c r="F11" s="28">
        <v>1162.6099999999999</v>
      </c>
      <c r="G11" s="28">
        <v>1095.4829999999999</v>
      </c>
      <c r="H11" s="29">
        <v>0.152</v>
      </c>
      <c r="I11" s="94">
        <f t="shared" si="0"/>
        <v>67.126999999999953</v>
      </c>
      <c r="J11" s="16"/>
      <c r="K11" s="17"/>
      <c r="L11" s="16"/>
      <c r="M11" s="16"/>
      <c r="N11" s="18"/>
    </row>
    <row r="12" spans="2:14" x14ac:dyDescent="0.2">
      <c r="B12" s="12"/>
      <c r="C12" s="2"/>
      <c r="D12" s="2" t="s">
        <v>314</v>
      </c>
      <c r="E12" s="9" t="s">
        <v>315</v>
      </c>
      <c r="F12" s="28">
        <v>39952.89</v>
      </c>
      <c r="G12" s="28">
        <v>12683.06</v>
      </c>
      <c r="H12" s="29">
        <v>0.97899999999999998</v>
      </c>
      <c r="I12" s="94">
        <f t="shared" si="0"/>
        <v>27269.83</v>
      </c>
      <c r="J12" s="16"/>
      <c r="K12" s="17"/>
      <c r="L12" s="16"/>
      <c r="M12" s="16"/>
      <c r="N12" s="18"/>
    </row>
    <row r="13" spans="2:14" x14ac:dyDescent="0.2">
      <c r="B13" s="12"/>
      <c r="C13" s="20"/>
      <c r="D13" s="20" t="s">
        <v>318</v>
      </c>
      <c r="E13" s="21" t="s">
        <v>319</v>
      </c>
      <c r="F13" s="31">
        <v>2075.721</v>
      </c>
      <c r="G13" s="31">
        <v>1521.769</v>
      </c>
      <c r="H13" s="23">
        <v>1.044</v>
      </c>
      <c r="I13" s="93">
        <f t="shared" si="0"/>
        <v>553.952</v>
      </c>
      <c r="J13" s="16"/>
      <c r="K13" s="17"/>
      <c r="L13" s="16"/>
      <c r="M13" s="16"/>
      <c r="N13" s="18"/>
    </row>
    <row r="14" spans="2:14" x14ac:dyDescent="0.2">
      <c r="B14" s="12"/>
      <c r="C14" s="2" t="s">
        <v>320</v>
      </c>
      <c r="D14" s="2" t="s">
        <v>310</v>
      </c>
      <c r="E14" s="9" t="s">
        <v>321</v>
      </c>
      <c r="F14" s="28">
        <v>9.7710000000000008</v>
      </c>
      <c r="G14" s="28">
        <v>3.8780000000000001</v>
      </c>
      <c r="H14" s="29">
        <v>0.66600000000000004</v>
      </c>
      <c r="I14" s="94">
        <f t="shared" si="0"/>
        <v>5.8930000000000007</v>
      </c>
      <c r="J14" s="16"/>
      <c r="K14" s="17"/>
      <c r="L14" s="16"/>
      <c r="M14" s="16"/>
      <c r="N14" s="18"/>
    </row>
    <row r="15" spans="2:14" x14ac:dyDescent="0.2">
      <c r="B15" s="12"/>
      <c r="C15" s="2"/>
      <c r="D15" s="2" t="s">
        <v>312</v>
      </c>
      <c r="E15" s="9" t="s">
        <v>322</v>
      </c>
      <c r="F15" s="83">
        <v>0.153</v>
      </c>
      <c r="G15" s="83">
        <v>0.34799999999999998</v>
      </c>
      <c r="H15" s="84" t="s">
        <v>344</v>
      </c>
      <c r="I15" s="85">
        <f t="shared" si="0"/>
        <v>-0.19499999999999998</v>
      </c>
      <c r="J15" s="16"/>
      <c r="K15" s="17"/>
      <c r="L15" s="16"/>
      <c r="M15" s="16"/>
      <c r="N15" s="18"/>
    </row>
    <row r="16" spans="2:14" x14ac:dyDescent="0.2">
      <c r="B16" s="12"/>
      <c r="C16" s="2"/>
      <c r="D16" s="2" t="s">
        <v>314</v>
      </c>
      <c r="E16" s="21" t="s">
        <v>323</v>
      </c>
      <c r="F16" s="81">
        <v>9.6180000000000003</v>
      </c>
      <c r="G16" s="81">
        <v>3.5009999999999999</v>
      </c>
      <c r="H16" s="82">
        <v>0.69299999999999995</v>
      </c>
      <c r="I16" s="93">
        <f t="shared" si="0"/>
        <v>6.1170000000000009</v>
      </c>
      <c r="J16" s="16"/>
      <c r="K16" s="17"/>
      <c r="L16" s="16"/>
      <c r="M16" s="16"/>
      <c r="N16" s="18"/>
    </row>
    <row r="17" spans="2:14" x14ac:dyDescent="0.2">
      <c r="B17" s="34" t="s">
        <v>324</v>
      </c>
      <c r="C17" s="35" t="s">
        <v>317</v>
      </c>
      <c r="D17" s="35" t="s">
        <v>310</v>
      </c>
      <c r="E17" s="9" t="s">
        <v>311</v>
      </c>
      <c r="F17" s="36">
        <v>39026.080000000002</v>
      </c>
      <c r="G17" s="36">
        <v>66848.960000000006</v>
      </c>
      <c r="H17" s="86" t="s">
        <v>345</v>
      </c>
      <c r="I17" s="85">
        <f t="shared" si="0"/>
        <v>-27822.880000000005</v>
      </c>
      <c r="J17" s="6"/>
      <c r="K17" s="7"/>
      <c r="L17" s="6"/>
      <c r="M17" s="6"/>
      <c r="N17" s="8"/>
    </row>
    <row r="18" spans="2:14" x14ac:dyDescent="0.2">
      <c r="B18" s="12"/>
      <c r="C18" s="2"/>
      <c r="D18" s="2" t="s">
        <v>312</v>
      </c>
      <c r="E18" s="9" t="s">
        <v>313</v>
      </c>
      <c r="F18" s="28">
        <v>7811.9650000000001</v>
      </c>
      <c r="G18" s="28">
        <v>4000.1089999999999</v>
      </c>
      <c r="H18" s="29">
        <v>0.875</v>
      </c>
      <c r="I18" s="94">
        <f t="shared" si="0"/>
        <v>3811.8560000000002</v>
      </c>
      <c r="J18" s="16"/>
      <c r="K18" s="17"/>
      <c r="L18" s="16"/>
      <c r="M18" s="16"/>
      <c r="N18" s="18"/>
    </row>
    <row r="19" spans="2:14" x14ac:dyDescent="0.2">
      <c r="B19" s="12"/>
      <c r="C19" s="2"/>
      <c r="D19" s="2" t="s">
        <v>314</v>
      </c>
      <c r="E19" s="9" t="s">
        <v>315</v>
      </c>
      <c r="F19" s="36">
        <v>31726.79</v>
      </c>
      <c r="G19" s="36">
        <v>62730.29</v>
      </c>
      <c r="H19" s="86" t="s">
        <v>346</v>
      </c>
      <c r="I19" s="85">
        <f t="shared" si="0"/>
        <v>-31003.5</v>
      </c>
      <c r="J19" s="16"/>
      <c r="K19" s="17"/>
      <c r="L19" s="16"/>
      <c r="M19" s="16"/>
      <c r="N19" s="18"/>
    </row>
    <row r="20" spans="2:14" x14ac:dyDescent="0.2">
      <c r="B20" s="12"/>
      <c r="C20" s="20"/>
      <c r="D20" s="20" t="s">
        <v>318</v>
      </c>
      <c r="E20" s="21" t="s">
        <v>319</v>
      </c>
      <c r="F20" s="33">
        <v>1433.962</v>
      </c>
      <c r="G20" s="33">
        <v>2243.2950000000001</v>
      </c>
      <c r="H20" s="87" t="s">
        <v>347</v>
      </c>
      <c r="I20" s="95">
        <f t="shared" si="0"/>
        <v>-809.33300000000008</v>
      </c>
      <c r="J20" s="16"/>
      <c r="K20" s="17"/>
      <c r="L20" s="16"/>
      <c r="M20" s="16"/>
      <c r="N20" s="18"/>
    </row>
    <row r="21" spans="2:14" x14ac:dyDescent="0.2">
      <c r="B21" s="12"/>
      <c r="C21" s="2" t="s">
        <v>320</v>
      </c>
      <c r="D21" s="2" t="s">
        <v>310</v>
      </c>
      <c r="E21" s="9" t="s">
        <v>321</v>
      </c>
      <c r="F21" s="36">
        <v>22.134</v>
      </c>
      <c r="G21" s="36">
        <v>33.104999999999997</v>
      </c>
      <c r="H21" s="86" t="s">
        <v>348</v>
      </c>
      <c r="I21" s="85">
        <f t="shared" si="0"/>
        <v>-10.970999999999997</v>
      </c>
      <c r="J21" s="16"/>
      <c r="K21" s="17"/>
      <c r="L21" s="16"/>
      <c r="M21" s="16"/>
      <c r="N21" s="18"/>
    </row>
    <row r="22" spans="2:14" x14ac:dyDescent="0.2">
      <c r="B22" s="12"/>
      <c r="C22" s="2"/>
      <c r="D22" s="2" t="s">
        <v>312</v>
      </c>
      <c r="E22" s="9" t="s">
        <v>322</v>
      </c>
      <c r="F22" s="36">
        <v>2.5350000000000001</v>
      </c>
      <c r="G22" s="36">
        <v>1.087</v>
      </c>
      <c r="H22" s="86" t="s">
        <v>349</v>
      </c>
      <c r="I22" s="85">
        <f t="shared" si="0"/>
        <v>1.4480000000000002</v>
      </c>
      <c r="J22" s="16"/>
      <c r="K22" s="17"/>
      <c r="L22" s="16"/>
      <c r="M22" s="16"/>
      <c r="N22" s="18"/>
    </row>
    <row r="23" spans="2:14" x14ac:dyDescent="0.2">
      <c r="B23" s="19"/>
      <c r="C23" s="20"/>
      <c r="D23" s="20" t="s">
        <v>314</v>
      </c>
      <c r="E23" s="21" t="s">
        <v>323</v>
      </c>
      <c r="F23" s="33">
        <v>19.811</v>
      </c>
      <c r="G23" s="33">
        <v>32.006</v>
      </c>
      <c r="H23" s="87" t="s">
        <v>350</v>
      </c>
      <c r="I23" s="95">
        <f t="shared" si="0"/>
        <v>-12.195</v>
      </c>
      <c r="J23" s="24"/>
      <c r="K23" s="25"/>
      <c r="L23" s="24"/>
      <c r="M23" s="24"/>
      <c r="N23" s="26"/>
    </row>
    <row r="24" spans="2:14" x14ac:dyDescent="0.2">
      <c r="B24" s="12" t="s">
        <v>325</v>
      </c>
      <c r="C24" s="2" t="s">
        <v>317</v>
      </c>
      <c r="D24" s="2" t="s">
        <v>310</v>
      </c>
      <c r="E24" s="9" t="s">
        <v>311</v>
      </c>
      <c r="F24" s="28">
        <v>2258.6570000000002</v>
      </c>
      <c r="G24" s="28">
        <v>1719.636</v>
      </c>
      <c r="H24" s="29">
        <v>1.5629999999999999</v>
      </c>
      <c r="I24" s="94">
        <f t="shared" si="0"/>
        <v>539.02100000000019</v>
      </c>
      <c r="J24" s="16"/>
      <c r="K24" s="17"/>
      <c r="L24" s="16"/>
      <c r="M24" s="16"/>
      <c r="N24" s="18"/>
    </row>
    <row r="25" spans="2:14" x14ac:dyDescent="0.2">
      <c r="B25" s="12"/>
      <c r="C25" s="2"/>
      <c r="D25" s="2" t="s">
        <v>312</v>
      </c>
      <c r="E25" s="9" t="s">
        <v>313</v>
      </c>
      <c r="F25" s="83">
        <v>1398.934</v>
      </c>
      <c r="G25" s="83">
        <v>992.97299999999996</v>
      </c>
      <c r="H25" s="84" t="s">
        <v>351</v>
      </c>
      <c r="I25" s="85">
        <f t="shared" si="0"/>
        <v>405.96100000000001</v>
      </c>
      <c r="J25" s="16"/>
      <c r="K25" s="17"/>
      <c r="L25" s="16"/>
      <c r="M25" s="16"/>
      <c r="N25" s="18"/>
    </row>
    <row r="26" spans="2:14" x14ac:dyDescent="0.2">
      <c r="B26" s="12"/>
      <c r="C26" s="2"/>
      <c r="D26" s="2" t="s">
        <v>314</v>
      </c>
      <c r="E26" s="9" t="s">
        <v>315</v>
      </c>
      <c r="F26" s="28">
        <v>859.72400000000005</v>
      </c>
      <c r="G26" s="28">
        <v>731.17899999999997</v>
      </c>
      <c r="H26" s="29">
        <v>0.61799999999999999</v>
      </c>
      <c r="I26" s="94">
        <f t="shared" si="0"/>
        <v>128.54500000000007</v>
      </c>
      <c r="J26" s="16"/>
      <c r="K26" s="17"/>
      <c r="L26" s="16"/>
      <c r="M26" s="16"/>
      <c r="N26" s="18"/>
    </row>
    <row r="27" spans="2:14" x14ac:dyDescent="0.2">
      <c r="B27" s="12"/>
      <c r="C27" s="20"/>
      <c r="D27" s="20" t="s">
        <v>318</v>
      </c>
      <c r="E27" s="21" t="s">
        <v>319</v>
      </c>
      <c r="F27" s="91">
        <v>1384.3789999999999</v>
      </c>
      <c r="G27" s="91">
        <v>1049.2470000000001</v>
      </c>
      <c r="H27" s="92" t="s">
        <v>352</v>
      </c>
      <c r="I27" s="95">
        <f t="shared" si="0"/>
        <v>335.13199999999983</v>
      </c>
      <c r="J27" s="16"/>
      <c r="K27" s="17"/>
      <c r="L27" s="16"/>
      <c r="M27" s="16"/>
      <c r="N27" s="18"/>
    </row>
    <row r="28" spans="2:14" x14ac:dyDescent="0.2">
      <c r="B28" s="12"/>
      <c r="C28" s="2" t="s">
        <v>320</v>
      </c>
      <c r="D28" s="2" t="s">
        <v>310</v>
      </c>
      <c r="E28" s="9" t="s">
        <v>321</v>
      </c>
      <c r="F28" s="83">
        <v>0.313</v>
      </c>
      <c r="G28" s="83">
        <v>0.25</v>
      </c>
      <c r="H28" s="84" t="s">
        <v>353</v>
      </c>
      <c r="I28" s="85">
        <f t="shared" si="0"/>
        <v>6.3E-2</v>
      </c>
      <c r="J28" s="16"/>
      <c r="K28" s="17"/>
      <c r="L28" s="16"/>
      <c r="M28" s="16"/>
      <c r="N28" s="18"/>
    </row>
    <row r="29" spans="2:14" x14ac:dyDescent="0.2">
      <c r="B29" s="12"/>
      <c r="C29" s="2"/>
      <c r="D29" s="2" t="s">
        <v>312</v>
      </c>
      <c r="E29" s="9" t="s">
        <v>322</v>
      </c>
      <c r="F29" s="83">
        <v>0.21</v>
      </c>
      <c r="G29" s="83">
        <v>0.158</v>
      </c>
      <c r="H29" s="84" t="s">
        <v>354</v>
      </c>
      <c r="I29" s="85">
        <f t="shared" si="0"/>
        <v>5.1999999999999991E-2</v>
      </c>
      <c r="J29" s="16"/>
      <c r="K29" s="17"/>
      <c r="L29" s="16"/>
      <c r="M29" s="16"/>
      <c r="N29" s="18"/>
    </row>
    <row r="30" spans="2:14" x14ac:dyDescent="0.2">
      <c r="B30" s="12"/>
      <c r="C30" s="2"/>
      <c r="D30" s="2" t="s">
        <v>314</v>
      </c>
      <c r="E30" s="21" t="s">
        <v>323</v>
      </c>
      <c r="F30" s="31">
        <v>0.10199999999999999</v>
      </c>
      <c r="G30" s="31">
        <v>9.0999999999999998E-2</v>
      </c>
      <c r="H30" s="23">
        <v>0.626</v>
      </c>
      <c r="I30" s="93">
        <f t="shared" si="0"/>
        <v>1.0999999999999996E-2</v>
      </c>
      <c r="J30" s="16"/>
      <c r="K30" s="17"/>
      <c r="L30" s="16"/>
      <c r="M30" s="16"/>
      <c r="N30" s="18"/>
    </row>
    <row r="31" spans="2:14" x14ac:dyDescent="0.2">
      <c r="B31" s="34" t="s">
        <v>326</v>
      </c>
      <c r="C31" s="35" t="s">
        <v>317</v>
      </c>
      <c r="D31" s="35" t="s">
        <v>310</v>
      </c>
      <c r="E31" s="9" t="s">
        <v>311</v>
      </c>
      <c r="F31" s="28">
        <v>51014.21</v>
      </c>
      <c r="G31" s="28">
        <v>51171.93</v>
      </c>
      <c r="H31" s="80" t="s">
        <v>355</v>
      </c>
      <c r="I31" s="94">
        <f t="shared" si="0"/>
        <v>-157.72000000000116</v>
      </c>
      <c r="J31" s="6"/>
      <c r="K31" s="7"/>
      <c r="L31" s="6"/>
      <c r="M31" s="6"/>
      <c r="N31" s="8"/>
    </row>
    <row r="32" spans="2:14" x14ac:dyDescent="0.2">
      <c r="B32" s="12"/>
      <c r="C32" s="2"/>
      <c r="D32" s="2" t="s">
        <v>312</v>
      </c>
      <c r="E32" s="9" t="s">
        <v>313</v>
      </c>
      <c r="F32" s="28">
        <v>44794.94</v>
      </c>
      <c r="G32" s="28">
        <v>44449.62</v>
      </c>
      <c r="H32" s="29">
        <v>9.8000000000000004E-2</v>
      </c>
      <c r="I32" s="94">
        <f t="shared" si="0"/>
        <v>345.31999999999971</v>
      </c>
      <c r="J32" s="16"/>
      <c r="K32" s="17"/>
      <c r="L32" s="16"/>
      <c r="M32" s="16"/>
      <c r="N32" s="18"/>
    </row>
    <row r="33" spans="2:14" x14ac:dyDescent="0.2">
      <c r="B33" s="12"/>
      <c r="C33" s="2"/>
      <c r="D33" s="2" t="s">
        <v>314</v>
      </c>
      <c r="E33" s="9" t="s">
        <v>315</v>
      </c>
      <c r="F33" s="28">
        <v>6206.7250000000004</v>
      </c>
      <c r="G33" s="28">
        <v>6171.4930000000004</v>
      </c>
      <c r="H33" s="29">
        <v>0.03</v>
      </c>
      <c r="I33" s="94">
        <f t="shared" si="0"/>
        <v>35.231999999999971</v>
      </c>
      <c r="J33" s="16"/>
      <c r="K33" s="17"/>
      <c r="L33" s="16"/>
      <c r="M33" s="16"/>
      <c r="N33" s="18"/>
    </row>
    <row r="34" spans="2:14" x14ac:dyDescent="0.2">
      <c r="B34" s="12"/>
      <c r="C34" s="20"/>
      <c r="D34" s="20" t="s">
        <v>318</v>
      </c>
      <c r="E34" s="21" t="s">
        <v>319</v>
      </c>
      <c r="F34" s="31">
        <v>35516.93</v>
      </c>
      <c r="G34" s="31">
        <v>36022.29</v>
      </c>
      <c r="H34" s="88" t="s">
        <v>356</v>
      </c>
      <c r="I34" s="93">
        <f t="shared" si="0"/>
        <v>-505.36000000000058</v>
      </c>
      <c r="J34" s="16"/>
      <c r="K34" s="17"/>
      <c r="L34" s="16"/>
      <c r="M34" s="16"/>
      <c r="N34" s="18"/>
    </row>
    <row r="35" spans="2:14" x14ac:dyDescent="0.2">
      <c r="B35" s="12"/>
      <c r="C35" s="2" t="s">
        <v>320</v>
      </c>
      <c r="D35" s="2" t="s">
        <v>310</v>
      </c>
      <c r="E35" s="9" t="s">
        <v>321</v>
      </c>
      <c r="F35" s="28">
        <v>0.91300000000000003</v>
      </c>
      <c r="G35" s="28">
        <v>0.89200000000000002</v>
      </c>
      <c r="H35" s="29">
        <v>0.47399999999999998</v>
      </c>
      <c r="I35" s="94">
        <f t="shared" si="0"/>
        <v>2.1000000000000019E-2</v>
      </c>
      <c r="J35" s="16"/>
      <c r="K35" s="17"/>
      <c r="L35" s="16"/>
      <c r="M35" s="16"/>
      <c r="N35" s="18"/>
    </row>
    <row r="36" spans="2:14" x14ac:dyDescent="0.2">
      <c r="B36" s="12"/>
      <c r="C36" s="2"/>
      <c r="D36" s="2" t="s">
        <v>312</v>
      </c>
      <c r="E36" s="9" t="s">
        <v>322</v>
      </c>
      <c r="F36" s="28">
        <v>0.81399999999999995</v>
      </c>
      <c r="G36" s="28">
        <v>0.76400000000000001</v>
      </c>
      <c r="H36" s="29">
        <v>1.252</v>
      </c>
      <c r="I36" s="94">
        <f t="shared" si="0"/>
        <v>4.9999999999999933E-2</v>
      </c>
      <c r="J36" s="16"/>
      <c r="K36" s="17"/>
      <c r="L36" s="16"/>
      <c r="M36" s="16"/>
      <c r="N36" s="18"/>
    </row>
    <row r="37" spans="2:14" x14ac:dyDescent="0.2">
      <c r="B37" s="19"/>
      <c r="C37" s="20"/>
      <c r="D37" s="20" t="s">
        <v>314</v>
      </c>
      <c r="E37" s="21" t="s">
        <v>323</v>
      </c>
      <c r="F37" s="31">
        <v>9.7000000000000003E-2</v>
      </c>
      <c r="G37" s="31">
        <v>0.11600000000000001</v>
      </c>
      <c r="H37" s="88" t="s">
        <v>357</v>
      </c>
      <c r="I37" s="93">
        <f t="shared" si="0"/>
        <v>-1.9000000000000003E-2</v>
      </c>
      <c r="J37" s="24"/>
      <c r="K37" s="25"/>
      <c r="L37" s="24"/>
      <c r="M37" s="24"/>
      <c r="N37" s="26"/>
    </row>
    <row r="38" spans="2:14" x14ac:dyDescent="0.2">
      <c r="B38" s="12" t="s">
        <v>327</v>
      </c>
      <c r="C38" s="2" t="s">
        <v>317</v>
      </c>
      <c r="D38" s="2" t="s">
        <v>328</v>
      </c>
      <c r="E38" s="9" t="s">
        <v>311</v>
      </c>
      <c r="F38" s="28">
        <v>16321.23</v>
      </c>
      <c r="G38" s="28">
        <v>16701.25</v>
      </c>
      <c r="H38" s="80" t="s">
        <v>358</v>
      </c>
      <c r="I38" s="94">
        <f t="shared" si="0"/>
        <v>-380.02000000000044</v>
      </c>
      <c r="J38" s="16"/>
      <c r="K38" s="17"/>
      <c r="L38" s="16"/>
      <c r="M38" s="16"/>
      <c r="N38" s="18"/>
    </row>
    <row r="39" spans="2:14" x14ac:dyDescent="0.2">
      <c r="B39" s="12"/>
      <c r="C39" s="2"/>
      <c r="D39" s="2" t="s">
        <v>329</v>
      </c>
      <c r="E39" s="9" t="s">
        <v>313</v>
      </c>
      <c r="F39" s="28">
        <v>9079.848</v>
      </c>
      <c r="G39" s="28">
        <v>9478.2080000000005</v>
      </c>
      <c r="H39" s="80" t="s">
        <v>359</v>
      </c>
      <c r="I39" s="94">
        <f t="shared" si="0"/>
        <v>-398.36000000000058</v>
      </c>
      <c r="J39" s="16"/>
      <c r="K39" s="17"/>
      <c r="L39" s="16"/>
      <c r="M39" s="16"/>
      <c r="N39" s="18"/>
    </row>
    <row r="40" spans="2:14" x14ac:dyDescent="0.2">
      <c r="B40" s="12"/>
      <c r="C40" s="2"/>
      <c r="D40" s="2" t="s">
        <v>330</v>
      </c>
      <c r="E40" s="9" t="s">
        <v>315</v>
      </c>
      <c r="F40" s="28">
        <v>7298.4709999999995</v>
      </c>
      <c r="G40" s="28">
        <v>7281.9390000000003</v>
      </c>
      <c r="H40" s="29">
        <v>2.6800000000000001E-2</v>
      </c>
      <c r="I40" s="94">
        <f t="shared" si="0"/>
        <v>16.531999999999243</v>
      </c>
      <c r="J40" s="16"/>
      <c r="K40" s="17"/>
      <c r="L40" s="16"/>
      <c r="M40" s="16"/>
      <c r="N40" s="18"/>
    </row>
    <row r="41" spans="2:14" x14ac:dyDescent="0.2">
      <c r="B41" s="12"/>
      <c r="C41" s="20"/>
      <c r="D41" s="20" t="s">
        <v>318</v>
      </c>
      <c r="E41" s="21" t="s">
        <v>319</v>
      </c>
      <c r="F41" s="31">
        <v>4630.96</v>
      </c>
      <c r="G41" s="31">
        <v>4498.4440000000004</v>
      </c>
      <c r="H41" s="23">
        <v>0.48499999999999999</v>
      </c>
      <c r="I41" s="93">
        <f t="shared" si="0"/>
        <v>132.51599999999962</v>
      </c>
      <c r="J41" s="16"/>
      <c r="K41" s="17"/>
      <c r="L41" s="16"/>
      <c r="M41" s="16"/>
      <c r="N41" s="18"/>
    </row>
    <row r="42" spans="2:14" x14ac:dyDescent="0.2">
      <c r="B42" s="12"/>
      <c r="C42" s="2" t="s">
        <v>320</v>
      </c>
      <c r="D42" s="2" t="s">
        <v>310</v>
      </c>
      <c r="E42" s="9" t="s">
        <v>321</v>
      </c>
      <c r="F42" s="28">
        <v>3.1680000000000001</v>
      </c>
      <c r="G42" s="28">
        <v>3.0369999999999999</v>
      </c>
      <c r="H42" s="29">
        <v>1.22</v>
      </c>
      <c r="I42" s="94">
        <f t="shared" si="0"/>
        <v>0.13100000000000023</v>
      </c>
      <c r="J42" s="16"/>
      <c r="K42" s="17"/>
      <c r="L42" s="16"/>
      <c r="M42" s="16"/>
      <c r="N42" s="18"/>
    </row>
    <row r="43" spans="2:14" x14ac:dyDescent="0.2">
      <c r="B43" s="12"/>
      <c r="C43" s="2"/>
      <c r="D43" s="2" t="s">
        <v>312</v>
      </c>
      <c r="E43" s="9" t="s">
        <v>322</v>
      </c>
      <c r="F43" s="28">
        <v>1.76</v>
      </c>
      <c r="G43" s="28">
        <v>1.673</v>
      </c>
      <c r="H43" s="29">
        <v>1.272</v>
      </c>
      <c r="I43" s="94">
        <f t="shared" si="0"/>
        <v>8.6999999999999966E-2</v>
      </c>
      <c r="J43" s="16"/>
      <c r="K43" s="17"/>
      <c r="L43" s="16"/>
      <c r="M43" s="16"/>
      <c r="N43" s="18"/>
    </row>
    <row r="44" spans="2:14" x14ac:dyDescent="0.2">
      <c r="B44" s="19"/>
      <c r="C44" s="20"/>
      <c r="D44" s="20" t="s">
        <v>314</v>
      </c>
      <c r="E44" s="21" t="s">
        <v>323</v>
      </c>
      <c r="F44" s="31">
        <v>1.405</v>
      </c>
      <c r="G44" s="31">
        <v>1.375</v>
      </c>
      <c r="H44" s="23">
        <v>0.5</v>
      </c>
      <c r="I44" s="93">
        <f t="shared" si="0"/>
        <v>3.0000000000000027E-2</v>
      </c>
      <c r="J44" s="24"/>
      <c r="K44" s="25"/>
      <c r="L44" s="24"/>
      <c r="M44" s="24"/>
      <c r="N44" s="26"/>
    </row>
    <row r="45" spans="2:14" x14ac:dyDescent="0.2">
      <c r="B45" s="12" t="s">
        <v>331</v>
      </c>
      <c r="C45" s="2" t="s">
        <v>317</v>
      </c>
      <c r="D45" s="2" t="s">
        <v>328</v>
      </c>
      <c r="E45" s="9" t="s">
        <v>311</v>
      </c>
      <c r="F45" s="28">
        <v>4395.57</v>
      </c>
      <c r="G45" s="28">
        <v>9290.5319999999992</v>
      </c>
      <c r="H45" s="80" t="s">
        <v>360</v>
      </c>
      <c r="I45" s="94">
        <f t="shared" si="0"/>
        <v>-4894.9619999999995</v>
      </c>
      <c r="J45" s="16"/>
      <c r="K45" s="17"/>
      <c r="L45" s="16"/>
      <c r="M45" s="16"/>
      <c r="N45" s="18"/>
    </row>
    <row r="46" spans="2:14" x14ac:dyDescent="0.2">
      <c r="B46" s="12"/>
      <c r="C46" s="2"/>
      <c r="D46" s="2" t="s">
        <v>329</v>
      </c>
      <c r="E46" s="9" t="s">
        <v>313</v>
      </c>
      <c r="F46" s="28">
        <v>3802.5720000000001</v>
      </c>
      <c r="G46" s="28">
        <v>3152.2849999999999</v>
      </c>
      <c r="H46" s="29">
        <v>1.601</v>
      </c>
      <c r="I46" s="94">
        <f t="shared" si="0"/>
        <v>650.28700000000026</v>
      </c>
      <c r="J46" s="16"/>
      <c r="K46" s="17"/>
      <c r="L46" s="16"/>
      <c r="M46" s="16"/>
      <c r="N46" s="18"/>
    </row>
    <row r="47" spans="2:14" x14ac:dyDescent="0.2">
      <c r="B47" s="12"/>
      <c r="C47" s="2"/>
      <c r="D47" s="2" t="s">
        <v>330</v>
      </c>
      <c r="E47" s="9" t="s">
        <v>315</v>
      </c>
      <c r="F47" s="28">
        <v>610.12800000000004</v>
      </c>
      <c r="G47" s="28">
        <v>491.19499999999999</v>
      </c>
      <c r="H47" s="29">
        <v>0.96599999999999997</v>
      </c>
      <c r="I47" s="94">
        <f t="shared" si="0"/>
        <v>118.93300000000005</v>
      </c>
      <c r="J47" s="16"/>
      <c r="K47" s="17"/>
      <c r="L47" s="16"/>
      <c r="M47" s="16"/>
      <c r="N47" s="18"/>
    </row>
    <row r="48" spans="2:14" x14ac:dyDescent="0.2">
      <c r="B48" s="12"/>
      <c r="C48" s="20"/>
      <c r="D48" s="20" t="s">
        <v>318</v>
      </c>
      <c r="E48" s="21" t="s">
        <v>319</v>
      </c>
      <c r="F48" s="31">
        <v>2420.2280000000001</v>
      </c>
      <c r="G48" s="31">
        <v>2270.547</v>
      </c>
      <c r="H48" s="23">
        <v>0.745</v>
      </c>
      <c r="I48" s="93">
        <f t="shared" si="0"/>
        <v>149.68100000000004</v>
      </c>
      <c r="J48" s="16"/>
      <c r="K48" s="17"/>
      <c r="L48" s="16"/>
      <c r="M48" s="16"/>
      <c r="N48" s="18"/>
    </row>
    <row r="49" spans="2:14" x14ac:dyDescent="0.2">
      <c r="B49" s="12"/>
      <c r="C49" s="2" t="s">
        <v>320</v>
      </c>
      <c r="D49" s="2" t="s">
        <v>328</v>
      </c>
      <c r="E49" s="9" t="s">
        <v>321</v>
      </c>
      <c r="F49" s="28">
        <v>1.3879999999999999</v>
      </c>
      <c r="G49" s="28">
        <v>3.181</v>
      </c>
      <c r="H49" s="80" t="s">
        <v>361</v>
      </c>
      <c r="I49" s="94">
        <f t="shared" si="0"/>
        <v>-1.7930000000000001</v>
      </c>
      <c r="J49" s="16"/>
      <c r="K49" s="17"/>
      <c r="L49" s="16"/>
      <c r="M49" s="16"/>
      <c r="N49" s="18"/>
    </row>
    <row r="50" spans="2:14" ht="16" x14ac:dyDescent="0.2">
      <c r="B50" s="12"/>
      <c r="C50" s="2"/>
      <c r="D50" s="2" t="s">
        <v>329</v>
      </c>
      <c r="E50" s="9" t="s">
        <v>322</v>
      </c>
      <c r="F50" s="38">
        <v>1.1910000000000001</v>
      </c>
      <c r="G50" s="38">
        <v>1.0960000000000001</v>
      </c>
      <c r="H50" s="89" t="s">
        <v>362</v>
      </c>
      <c r="I50" s="85">
        <f>F50-G50</f>
        <v>9.4999999999999973E-2</v>
      </c>
      <c r="J50" s="16"/>
      <c r="K50" s="17"/>
      <c r="L50" s="16"/>
      <c r="M50" s="16"/>
      <c r="N50" s="18"/>
    </row>
    <row r="51" spans="2:14" ht="16" thickBot="1" x14ac:dyDescent="0.25">
      <c r="B51" s="12"/>
      <c r="C51" s="2"/>
      <c r="D51" s="2" t="s">
        <v>330</v>
      </c>
      <c r="E51" s="21" t="s">
        <v>323</v>
      </c>
      <c r="F51" s="39">
        <v>0.19800000000000001</v>
      </c>
      <c r="G51" s="39">
        <v>0.20200000000000001</v>
      </c>
      <c r="H51" s="90" t="s">
        <v>363</v>
      </c>
      <c r="I51" s="94">
        <f t="shared" si="0"/>
        <v>-4.0000000000000036E-3</v>
      </c>
      <c r="J51" s="16"/>
      <c r="K51" s="17"/>
      <c r="L51" s="16"/>
      <c r="M51" s="16"/>
      <c r="N51" s="18"/>
    </row>
    <row r="52" spans="2:14" ht="16" thickBot="1" x14ac:dyDescent="0.25">
      <c r="B52" s="322"/>
      <c r="C52" s="323"/>
      <c r="D52" s="323"/>
      <c r="E52" s="323"/>
      <c r="F52" s="323"/>
      <c r="G52" s="323"/>
      <c r="H52" s="323"/>
      <c r="I52" s="323"/>
      <c r="J52" s="323"/>
      <c r="K52" s="323"/>
      <c r="L52" s="323"/>
      <c r="M52" s="323"/>
      <c r="N52" s="324"/>
    </row>
    <row r="53" spans="2:14" x14ac:dyDescent="0.2">
      <c r="B53" s="42" t="s">
        <v>332</v>
      </c>
      <c r="C53" s="41"/>
      <c r="D53" s="41"/>
      <c r="E53" s="9"/>
      <c r="F53" s="2" t="s">
        <v>300</v>
      </c>
      <c r="G53" s="2" t="s">
        <v>301</v>
      </c>
      <c r="H53" s="10" t="s">
        <v>302</v>
      </c>
      <c r="I53" s="11" t="s">
        <v>303</v>
      </c>
      <c r="J53" s="16"/>
      <c r="K53" s="17"/>
      <c r="L53" s="16"/>
      <c r="M53" s="16"/>
      <c r="N53" s="18"/>
    </row>
    <row r="54" spans="2:14" x14ac:dyDescent="0.2">
      <c r="B54" s="12"/>
      <c r="C54" s="2"/>
      <c r="D54" s="2" t="s">
        <v>310</v>
      </c>
      <c r="E54" s="9" t="s">
        <v>311</v>
      </c>
      <c r="F54" s="43">
        <v>1372664</v>
      </c>
      <c r="G54" s="43">
        <v>248876.3</v>
      </c>
      <c r="H54" s="45">
        <v>0.88400000000000001</v>
      </c>
      <c r="I54" s="46">
        <f>F54-G54</f>
        <v>1123787.7</v>
      </c>
      <c r="J54" s="16"/>
      <c r="K54" s="17"/>
      <c r="L54" s="16"/>
      <c r="M54" s="16"/>
      <c r="N54" s="18"/>
    </row>
    <row r="55" spans="2:14" x14ac:dyDescent="0.2">
      <c r="B55" s="12"/>
      <c r="C55" s="2"/>
      <c r="D55" s="2" t="s">
        <v>312</v>
      </c>
      <c r="E55" s="9" t="s">
        <v>333</v>
      </c>
      <c r="F55" s="43">
        <v>1364085</v>
      </c>
      <c r="G55" s="43">
        <v>337923.6</v>
      </c>
      <c r="H55" s="45">
        <v>0.8054</v>
      </c>
      <c r="I55" s="46">
        <f t="shared" ref="I55:I56" si="1">F55-G55</f>
        <v>1026161.4</v>
      </c>
      <c r="J55" s="16"/>
      <c r="K55" s="17"/>
      <c r="L55" s="16"/>
      <c r="M55" s="16"/>
      <c r="N55" s="18"/>
    </row>
    <row r="56" spans="2:14" x14ac:dyDescent="0.2">
      <c r="B56" s="19"/>
      <c r="C56" s="20"/>
      <c r="D56" s="20" t="s">
        <v>314</v>
      </c>
      <c r="E56" s="21" t="s">
        <v>315</v>
      </c>
      <c r="F56" s="47">
        <v>6618.3680000000004</v>
      </c>
      <c r="G56" s="47">
        <v>8504.9490000000005</v>
      </c>
      <c r="H56" s="96" t="s">
        <v>364</v>
      </c>
      <c r="I56" s="48">
        <f t="shared" si="1"/>
        <v>-1886.5810000000001</v>
      </c>
      <c r="J56" s="24"/>
      <c r="K56" s="25"/>
      <c r="L56" s="24"/>
      <c r="M56" s="24"/>
      <c r="N56" s="26"/>
    </row>
    <row r="57" spans="2:14" x14ac:dyDescent="0.2">
      <c r="B57" s="12" t="s">
        <v>334</v>
      </c>
      <c r="C57" s="2" t="s">
        <v>317</v>
      </c>
      <c r="D57" s="2"/>
      <c r="E57" s="9"/>
      <c r="F57" s="43"/>
      <c r="G57" s="43"/>
      <c r="H57" s="45"/>
      <c r="I57" s="46"/>
      <c r="J57" s="16"/>
      <c r="K57" s="17"/>
      <c r="L57" s="16"/>
      <c r="M57" s="16"/>
      <c r="N57" s="18"/>
    </row>
    <row r="58" spans="2:14" x14ac:dyDescent="0.2">
      <c r="B58" s="12"/>
      <c r="C58" s="2"/>
      <c r="D58" s="2" t="s">
        <v>328</v>
      </c>
      <c r="E58" s="9" t="s">
        <v>311</v>
      </c>
      <c r="F58" s="101">
        <v>3965.3649999999998</v>
      </c>
      <c r="G58" s="101">
        <v>3289.9560000000001</v>
      </c>
      <c r="H58" s="102" t="s">
        <v>365</v>
      </c>
      <c r="I58" s="103">
        <f>F58-G58</f>
        <v>675.40899999999965</v>
      </c>
      <c r="J58" s="16"/>
      <c r="K58" s="17"/>
      <c r="L58" s="16"/>
      <c r="M58" s="16"/>
      <c r="N58" s="18"/>
    </row>
    <row r="59" spans="2:14" x14ac:dyDescent="0.2">
      <c r="B59" s="12"/>
      <c r="C59" s="2"/>
      <c r="D59" s="2" t="s">
        <v>329</v>
      </c>
      <c r="E59" s="9" t="s">
        <v>313</v>
      </c>
      <c r="F59" s="53">
        <v>2998.8420000000001</v>
      </c>
      <c r="G59" s="53">
        <v>2182.4650000000001</v>
      </c>
      <c r="H59" s="54" t="s">
        <v>366</v>
      </c>
      <c r="I59" s="103">
        <f t="shared" ref="I59:I74" si="2">F59-G59</f>
        <v>816.37699999999995</v>
      </c>
      <c r="J59" s="16"/>
      <c r="K59" s="17"/>
      <c r="L59" s="16"/>
      <c r="M59" s="16"/>
      <c r="N59" s="18"/>
    </row>
    <row r="60" spans="2:14" x14ac:dyDescent="0.2">
      <c r="B60" s="12"/>
      <c r="C60" s="2"/>
      <c r="D60" s="2" t="s">
        <v>330</v>
      </c>
      <c r="E60" s="9" t="s">
        <v>315</v>
      </c>
      <c r="F60" s="53">
        <v>962.19399999999996</v>
      </c>
      <c r="G60" s="53">
        <v>1104.73</v>
      </c>
      <c r="H60" s="97" t="s">
        <v>367</v>
      </c>
      <c r="I60" s="103">
        <f t="shared" si="2"/>
        <v>-142.53600000000006</v>
      </c>
      <c r="J60" s="16"/>
      <c r="K60" s="17"/>
      <c r="L60" s="16"/>
      <c r="M60" s="16"/>
      <c r="N60" s="18"/>
    </row>
    <row r="61" spans="2:14" x14ac:dyDescent="0.2">
      <c r="B61" s="12"/>
      <c r="C61" s="20"/>
      <c r="D61" s="20" t="s">
        <v>318</v>
      </c>
      <c r="E61" s="21" t="s">
        <v>319</v>
      </c>
      <c r="F61" s="104">
        <v>828.83500000000004</v>
      </c>
      <c r="G61" s="104">
        <v>718.44600000000003</v>
      </c>
      <c r="H61" s="105" t="s">
        <v>368</v>
      </c>
      <c r="I61" s="106">
        <f t="shared" si="2"/>
        <v>110.38900000000001</v>
      </c>
      <c r="J61" s="16"/>
      <c r="K61" s="17"/>
      <c r="L61" s="16"/>
      <c r="M61" s="16"/>
      <c r="N61" s="18"/>
    </row>
    <row r="62" spans="2:14" x14ac:dyDescent="0.2">
      <c r="B62" s="12"/>
      <c r="C62" s="2" t="s">
        <v>320</v>
      </c>
      <c r="D62" s="2"/>
      <c r="E62" s="9"/>
      <c r="F62" s="49"/>
      <c r="G62" s="49"/>
      <c r="H62" s="50"/>
      <c r="I62" s="52"/>
      <c r="J62" s="16"/>
      <c r="K62" s="17"/>
      <c r="L62" s="16"/>
      <c r="M62" s="16"/>
      <c r="N62" s="18"/>
    </row>
    <row r="63" spans="2:14" x14ac:dyDescent="0.2">
      <c r="B63" s="12"/>
      <c r="C63" s="2"/>
      <c r="D63" s="2" t="s">
        <v>328</v>
      </c>
      <c r="E63" s="9" t="s">
        <v>321</v>
      </c>
      <c r="F63" s="49">
        <v>4.8159999999999998</v>
      </c>
      <c r="G63" s="58">
        <v>4.5730000000000004</v>
      </c>
      <c r="H63" s="49">
        <v>1.238</v>
      </c>
      <c r="I63" s="52">
        <f t="shared" si="2"/>
        <v>0.24299999999999944</v>
      </c>
      <c r="J63" s="16"/>
      <c r="K63" s="17"/>
      <c r="L63" s="16"/>
      <c r="M63" s="16"/>
      <c r="N63" s="18"/>
    </row>
    <row r="64" spans="2:14" ht="16" x14ac:dyDescent="0.2">
      <c r="B64" s="12"/>
      <c r="C64" s="2"/>
      <c r="D64" s="2" t="s">
        <v>329</v>
      </c>
      <c r="E64" s="9" t="s">
        <v>335</v>
      </c>
      <c r="F64" s="59">
        <v>3.4620000000000002</v>
      </c>
      <c r="G64" s="60">
        <v>2.9910000000000001</v>
      </c>
      <c r="H64" s="59" t="s">
        <v>369</v>
      </c>
      <c r="I64" s="103">
        <f t="shared" si="2"/>
        <v>0.47100000000000009</v>
      </c>
      <c r="J64" s="16"/>
      <c r="K64" s="17"/>
      <c r="L64" s="16"/>
      <c r="M64" s="16"/>
      <c r="N64" s="18"/>
    </row>
    <row r="65" spans="2:14" ht="16" x14ac:dyDescent="0.2">
      <c r="B65" s="12"/>
      <c r="C65" s="2"/>
      <c r="D65" s="2" t="s">
        <v>330</v>
      </c>
      <c r="E65" s="9" t="s">
        <v>336</v>
      </c>
      <c r="F65" s="61">
        <v>1.355</v>
      </c>
      <c r="G65" s="62">
        <v>1.57</v>
      </c>
      <c r="H65" s="98" t="s">
        <v>370</v>
      </c>
      <c r="I65" s="106">
        <f t="shared" si="2"/>
        <v>-0.21500000000000008</v>
      </c>
      <c r="J65" s="16"/>
      <c r="K65" s="17"/>
      <c r="L65" s="16"/>
      <c r="M65" s="16"/>
      <c r="N65" s="18"/>
    </row>
    <row r="66" spans="2:14" x14ac:dyDescent="0.2">
      <c r="B66" s="34" t="s">
        <v>337</v>
      </c>
      <c r="C66" s="35" t="s">
        <v>317</v>
      </c>
      <c r="D66" s="35"/>
      <c r="E66" s="63"/>
      <c r="F66" s="49"/>
      <c r="G66" s="49"/>
      <c r="H66" s="50"/>
      <c r="I66" s="52"/>
      <c r="J66" s="6"/>
      <c r="K66" s="7"/>
      <c r="L66" s="6"/>
      <c r="M66" s="6"/>
      <c r="N66" s="8"/>
    </row>
    <row r="67" spans="2:14" x14ac:dyDescent="0.2">
      <c r="B67" s="12"/>
      <c r="C67" s="2"/>
      <c r="D67" s="2" t="s">
        <v>328</v>
      </c>
      <c r="E67" s="9" t="s">
        <v>311</v>
      </c>
      <c r="F67" s="49">
        <v>1573.502</v>
      </c>
      <c r="G67" s="49">
        <v>1704.366</v>
      </c>
      <c r="H67" s="99" t="s">
        <v>371</v>
      </c>
      <c r="I67" s="52">
        <f t="shared" si="2"/>
        <v>-130.86400000000003</v>
      </c>
      <c r="J67" s="16"/>
      <c r="K67" s="17"/>
      <c r="L67" s="16"/>
      <c r="M67" s="16"/>
      <c r="N67" s="18"/>
    </row>
    <row r="68" spans="2:14" x14ac:dyDescent="0.2">
      <c r="B68" s="12"/>
      <c r="C68" s="2"/>
      <c r="D68" s="2" t="s">
        <v>329</v>
      </c>
      <c r="E68" s="9" t="s">
        <v>313</v>
      </c>
      <c r="F68" s="49">
        <v>1358.4449999999999</v>
      </c>
      <c r="G68" s="49">
        <v>1508.0930000000001</v>
      </c>
      <c r="H68" s="99" t="s">
        <v>372</v>
      </c>
      <c r="I68" s="52">
        <f t="shared" si="2"/>
        <v>-149.64800000000014</v>
      </c>
      <c r="J68" s="16"/>
      <c r="K68" s="17"/>
      <c r="L68" s="16"/>
      <c r="M68" s="16"/>
      <c r="N68" s="18"/>
    </row>
    <row r="69" spans="2:14" x14ac:dyDescent="0.2">
      <c r="B69" s="12"/>
      <c r="C69" s="2"/>
      <c r="D69" s="2" t="s">
        <v>330</v>
      </c>
      <c r="E69" s="9" t="s">
        <v>315</v>
      </c>
      <c r="F69" s="49">
        <v>211.66800000000001</v>
      </c>
      <c r="G69" s="49">
        <v>174.37799999999999</v>
      </c>
      <c r="H69" s="50">
        <v>0.97</v>
      </c>
      <c r="I69" s="52">
        <f t="shared" si="2"/>
        <v>37.29000000000002</v>
      </c>
      <c r="J69" s="16"/>
      <c r="K69" s="17"/>
      <c r="L69" s="16"/>
      <c r="M69" s="16"/>
      <c r="N69" s="18"/>
    </row>
    <row r="70" spans="2:14" x14ac:dyDescent="0.2">
      <c r="B70" s="12"/>
      <c r="C70" s="20"/>
      <c r="D70" s="20" t="s">
        <v>318</v>
      </c>
      <c r="E70" s="21" t="s">
        <v>319</v>
      </c>
      <c r="F70" s="107">
        <v>664.93899999999996</v>
      </c>
      <c r="G70" s="107">
        <v>698.524</v>
      </c>
      <c r="H70" s="108" t="s">
        <v>373</v>
      </c>
      <c r="I70" s="57">
        <f t="shared" si="2"/>
        <v>-33.585000000000036</v>
      </c>
      <c r="J70" s="16"/>
      <c r="K70" s="17"/>
      <c r="L70" s="16"/>
      <c r="M70" s="16"/>
      <c r="N70" s="18"/>
    </row>
    <row r="71" spans="2:14" x14ac:dyDescent="0.2">
      <c r="B71" s="12"/>
      <c r="C71" s="2" t="s">
        <v>320</v>
      </c>
      <c r="D71" s="2"/>
      <c r="E71" s="9"/>
      <c r="F71" s="49"/>
      <c r="G71" s="49"/>
      <c r="H71" s="50"/>
      <c r="I71" s="52"/>
      <c r="J71" s="16"/>
      <c r="K71" s="17"/>
      <c r="L71" s="16"/>
      <c r="M71" s="16"/>
      <c r="N71" s="18"/>
    </row>
    <row r="72" spans="2:14" x14ac:dyDescent="0.2">
      <c r="B72" s="12"/>
      <c r="C72" s="2"/>
      <c r="D72" s="2" t="s">
        <v>328</v>
      </c>
      <c r="E72" s="9" t="s">
        <v>321</v>
      </c>
      <c r="F72" s="49">
        <v>1.385</v>
      </c>
      <c r="G72" s="58">
        <v>1.4359999999999999</v>
      </c>
      <c r="H72" s="100" t="s">
        <v>374</v>
      </c>
      <c r="I72" s="52">
        <f t="shared" si="2"/>
        <v>-5.0999999999999934E-2</v>
      </c>
      <c r="J72" s="16"/>
      <c r="K72" s="17"/>
      <c r="L72" s="16"/>
      <c r="M72" s="16"/>
      <c r="N72" s="18"/>
    </row>
    <row r="73" spans="2:14" x14ac:dyDescent="0.2">
      <c r="B73" s="12"/>
      <c r="C73" s="2"/>
      <c r="D73" s="2" t="s">
        <v>329</v>
      </c>
      <c r="E73" s="9" t="s">
        <v>335</v>
      </c>
      <c r="F73" s="49">
        <v>1.1910000000000001</v>
      </c>
      <c r="G73" s="58">
        <v>1.2370000000000001</v>
      </c>
      <c r="H73" s="100" t="s">
        <v>375</v>
      </c>
      <c r="I73" s="52">
        <f t="shared" si="2"/>
        <v>-4.6000000000000041E-2</v>
      </c>
      <c r="J73" s="16"/>
      <c r="K73" s="17"/>
      <c r="L73" s="16"/>
      <c r="M73" s="16"/>
      <c r="N73" s="18"/>
    </row>
    <row r="74" spans="2:14" ht="16" thickBot="1" x14ac:dyDescent="0.25">
      <c r="B74" s="12"/>
      <c r="C74" s="2"/>
      <c r="D74" s="2" t="s">
        <v>330</v>
      </c>
      <c r="E74" s="9" t="s">
        <v>336</v>
      </c>
      <c r="F74" s="66">
        <v>0.19</v>
      </c>
      <c r="G74" s="67">
        <v>0.184</v>
      </c>
      <c r="H74" s="66">
        <v>0.20399999999999999</v>
      </c>
      <c r="I74" s="52">
        <f t="shared" si="2"/>
        <v>6.0000000000000053E-3</v>
      </c>
      <c r="J74" s="16"/>
      <c r="K74" s="17"/>
      <c r="L74" s="16"/>
      <c r="M74" s="16"/>
      <c r="N74" s="18"/>
    </row>
    <row r="75" spans="2:14" ht="16" thickBot="1" x14ac:dyDescent="0.25">
      <c r="B75" s="322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4"/>
    </row>
    <row r="76" spans="2:14" x14ac:dyDescent="0.2">
      <c r="B76" s="70" t="s">
        <v>338</v>
      </c>
      <c r="C76" s="71"/>
      <c r="D76" s="109"/>
      <c r="E76" s="110"/>
      <c r="F76" s="109"/>
      <c r="G76" s="109"/>
      <c r="H76" s="111"/>
      <c r="I76" s="112"/>
      <c r="J76" s="113"/>
      <c r="K76" s="114"/>
      <c r="L76" s="113"/>
      <c r="M76" s="113"/>
      <c r="N76" s="115"/>
    </row>
    <row r="77" spans="2:14" x14ac:dyDescent="0.2">
      <c r="B77" s="12"/>
      <c r="C77" s="116"/>
      <c r="D77" s="116" t="s">
        <v>328</v>
      </c>
      <c r="E77" s="9" t="s">
        <v>339</v>
      </c>
      <c r="F77" s="121">
        <v>1.8640000000000001</v>
      </c>
      <c r="G77" s="121">
        <v>1.9630000000000001</v>
      </c>
      <c r="H77" s="119" t="s">
        <v>376</v>
      </c>
      <c r="I77" s="52">
        <f>F77-G77</f>
        <v>-9.8999999999999977E-2</v>
      </c>
      <c r="J77" s="118"/>
      <c r="K77" s="17"/>
      <c r="L77" s="118"/>
      <c r="M77" s="118"/>
      <c r="N77" s="18"/>
    </row>
    <row r="78" spans="2:14" x14ac:dyDescent="0.2">
      <c r="B78" s="12"/>
      <c r="C78" s="116"/>
      <c r="D78" s="116" t="s">
        <v>329</v>
      </c>
      <c r="E78" s="9" t="s">
        <v>340</v>
      </c>
      <c r="F78" s="121">
        <v>1.353</v>
      </c>
      <c r="G78" s="121">
        <v>0.94899999999999995</v>
      </c>
      <c r="H78" s="45">
        <v>1.4670000000000001</v>
      </c>
      <c r="I78" s="52">
        <f t="shared" ref="I78:I79" si="3">F78-G78</f>
        <v>0.40400000000000003</v>
      </c>
      <c r="J78" s="118"/>
      <c r="K78" s="17"/>
      <c r="L78" s="118"/>
      <c r="M78" s="118"/>
      <c r="N78" s="18"/>
    </row>
    <row r="79" spans="2:14" ht="16" thickBot="1" x14ac:dyDescent="0.25">
      <c r="B79" s="73"/>
      <c r="C79" s="74"/>
      <c r="D79" s="74" t="s">
        <v>330</v>
      </c>
      <c r="E79" s="76" t="s">
        <v>341</v>
      </c>
      <c r="F79" s="66">
        <v>0.50800000000000001</v>
      </c>
      <c r="G79" s="66">
        <v>1.016</v>
      </c>
      <c r="H79" s="120" t="s">
        <v>377</v>
      </c>
      <c r="I79" s="69">
        <f t="shared" si="3"/>
        <v>-0.50800000000000001</v>
      </c>
      <c r="J79" s="77"/>
      <c r="K79" s="78"/>
      <c r="L79" s="77"/>
      <c r="M79" s="77"/>
      <c r="N79" s="79"/>
    </row>
  </sheetData>
  <mergeCells count="7">
    <mergeCell ref="B75:N75"/>
    <mergeCell ref="B4:D5"/>
    <mergeCell ref="E4:E5"/>
    <mergeCell ref="F4:I4"/>
    <mergeCell ref="J4:N4"/>
    <mergeCell ref="B6:D6"/>
    <mergeCell ref="B52:N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300B-C8C4-7C48-8DBC-7470FEBCCF87}">
  <dimension ref="B3:M29"/>
  <sheetViews>
    <sheetView topLeftCell="A3" workbookViewId="0">
      <selection activeCell="H34" sqref="H34"/>
    </sheetView>
  </sheetViews>
  <sheetFormatPr baseColWidth="10" defaultRowHeight="15" x14ac:dyDescent="0.2"/>
  <cols>
    <col min="3" max="3" width="12.1640625" bestFit="1" customWidth="1"/>
    <col min="4" max="4" width="14.6640625" bestFit="1" customWidth="1"/>
  </cols>
  <sheetData>
    <row r="3" spans="2:13" ht="16" thickBot="1" x14ac:dyDescent="0.25"/>
    <row r="4" spans="2:13" ht="15" customHeight="1" x14ac:dyDescent="0.2">
      <c r="B4" s="325"/>
      <c r="C4" s="327"/>
      <c r="D4" s="308" t="s">
        <v>297</v>
      </c>
      <c r="E4" s="310" t="s">
        <v>298</v>
      </c>
      <c r="F4" s="311"/>
      <c r="G4" s="311"/>
      <c r="H4" s="319"/>
      <c r="I4" s="331" t="s">
        <v>299</v>
      </c>
      <c r="J4" s="332"/>
      <c r="K4" s="332"/>
      <c r="L4" s="332"/>
      <c r="M4" s="339"/>
    </row>
    <row r="5" spans="2:13" x14ac:dyDescent="0.2">
      <c r="B5" s="337"/>
      <c r="C5" s="338"/>
      <c r="D5" s="309"/>
      <c r="E5" s="138" t="s">
        <v>300</v>
      </c>
      <c r="F5" s="3" t="s">
        <v>301</v>
      </c>
      <c r="G5" s="4" t="s">
        <v>302</v>
      </c>
      <c r="H5" s="5" t="s">
        <v>303</v>
      </c>
      <c r="I5" s="178" t="s">
        <v>304</v>
      </c>
      <c r="J5" s="179" t="s">
        <v>305</v>
      </c>
      <c r="K5" s="178" t="s">
        <v>306</v>
      </c>
      <c r="L5" s="179" t="s">
        <v>307</v>
      </c>
      <c r="M5" s="180" t="s">
        <v>308</v>
      </c>
    </row>
    <row r="6" spans="2:13" x14ac:dyDescent="0.2">
      <c r="B6" s="12" t="s">
        <v>310</v>
      </c>
      <c r="C6" s="116"/>
      <c r="D6" s="12"/>
      <c r="E6" s="12"/>
      <c r="F6" s="116"/>
      <c r="G6" s="10"/>
      <c r="H6" s="11"/>
      <c r="I6" s="118"/>
      <c r="J6" s="17"/>
      <c r="K6" s="118"/>
      <c r="L6" s="118"/>
      <c r="M6" s="18"/>
    </row>
    <row r="7" spans="2:13" x14ac:dyDescent="0.2">
      <c r="B7" s="12"/>
      <c r="C7" s="116" t="s">
        <v>427</v>
      </c>
      <c r="D7" s="12" t="s">
        <v>419</v>
      </c>
      <c r="E7" s="181">
        <v>0.22900000000000001</v>
      </c>
      <c r="F7" s="121">
        <v>0.249</v>
      </c>
      <c r="G7" s="119" t="s">
        <v>441</v>
      </c>
      <c r="H7" s="52">
        <v>2.8000000000000001E-2</v>
      </c>
      <c r="I7" s="118"/>
      <c r="J7" s="17"/>
      <c r="K7" s="118"/>
      <c r="L7" s="118"/>
      <c r="M7" s="18"/>
    </row>
    <row r="8" spans="2:13" x14ac:dyDescent="0.2">
      <c r="B8" s="12"/>
      <c r="C8" s="116" t="s">
        <v>428</v>
      </c>
      <c r="D8" s="12" t="s">
        <v>419</v>
      </c>
      <c r="E8" s="182">
        <v>0.78500000000000003</v>
      </c>
      <c r="F8" s="191">
        <v>1.1100000000000001</v>
      </c>
      <c r="G8" s="192" t="s">
        <v>442</v>
      </c>
      <c r="H8" s="55">
        <v>-0.48599999999999999</v>
      </c>
      <c r="I8" s="118"/>
      <c r="J8" s="17"/>
      <c r="K8" s="118"/>
      <c r="L8" s="118"/>
      <c r="M8" s="18"/>
    </row>
    <row r="9" spans="2:13" x14ac:dyDescent="0.2">
      <c r="B9" s="12"/>
      <c r="C9" s="116" t="s">
        <v>420</v>
      </c>
      <c r="D9" s="12" t="s">
        <v>421</v>
      </c>
      <c r="E9" s="183">
        <v>1.7170000000000001</v>
      </c>
      <c r="F9" s="64">
        <v>1.173</v>
      </c>
      <c r="G9" s="193" t="s">
        <v>443</v>
      </c>
      <c r="H9" s="65">
        <v>0.57999999999999996</v>
      </c>
      <c r="I9" s="118"/>
      <c r="J9" s="17"/>
      <c r="K9" s="118"/>
      <c r="L9" s="118"/>
      <c r="M9" s="18"/>
    </row>
    <row r="10" spans="2:13" x14ac:dyDescent="0.2">
      <c r="B10" s="34" t="s">
        <v>422</v>
      </c>
      <c r="C10" s="35"/>
      <c r="D10" s="34"/>
      <c r="E10" s="185"/>
      <c r="F10" s="117"/>
      <c r="G10" s="10"/>
      <c r="H10" s="72"/>
      <c r="I10" s="6"/>
      <c r="J10" s="7"/>
      <c r="K10" s="6"/>
      <c r="L10" s="6"/>
      <c r="M10" s="8"/>
    </row>
    <row r="11" spans="2:13" x14ac:dyDescent="0.2">
      <c r="B11" s="12"/>
      <c r="C11" s="116" t="s">
        <v>423</v>
      </c>
      <c r="D11" s="12" t="s">
        <v>418</v>
      </c>
      <c r="E11" s="181">
        <v>0.53900000000000003</v>
      </c>
      <c r="F11" s="121">
        <v>0.501</v>
      </c>
      <c r="G11" s="45">
        <v>1.506</v>
      </c>
      <c r="H11" s="52">
        <v>2.9000000000000001E-2</v>
      </c>
      <c r="I11" s="118"/>
      <c r="J11" s="17"/>
      <c r="K11" s="118"/>
      <c r="L11" s="118"/>
      <c r="M11" s="18"/>
    </row>
    <row r="12" spans="2:13" x14ac:dyDescent="0.2">
      <c r="B12" s="12"/>
      <c r="C12" s="116" t="s">
        <v>427</v>
      </c>
      <c r="D12" s="12" t="s">
        <v>419</v>
      </c>
      <c r="E12" s="181">
        <v>1.0999999999999999E-2</v>
      </c>
      <c r="F12" s="121">
        <v>1.7999999999999999E-2</v>
      </c>
      <c r="G12" s="119" t="s">
        <v>438</v>
      </c>
      <c r="H12" s="52">
        <v>-1.2E-2</v>
      </c>
      <c r="I12" s="118"/>
      <c r="J12" s="17"/>
      <c r="K12" s="118"/>
      <c r="L12" s="118"/>
      <c r="M12" s="18"/>
    </row>
    <row r="13" spans="2:13" x14ac:dyDescent="0.2">
      <c r="B13" s="12"/>
      <c r="C13" s="116" t="s">
        <v>428</v>
      </c>
      <c r="D13" s="12" t="s">
        <v>419</v>
      </c>
      <c r="E13" s="182">
        <v>0.23</v>
      </c>
      <c r="F13" s="191">
        <v>0.28399999999999997</v>
      </c>
      <c r="G13" s="192" t="s">
        <v>439</v>
      </c>
      <c r="H13" s="55">
        <v>-8.4000000000000005E-2</v>
      </c>
      <c r="I13" s="118"/>
      <c r="J13" s="17"/>
      <c r="K13" s="118"/>
      <c r="L13" s="118"/>
      <c r="M13" s="18"/>
    </row>
    <row r="14" spans="2:13" x14ac:dyDescent="0.2">
      <c r="B14" s="19"/>
      <c r="C14" s="190" t="s">
        <v>420</v>
      </c>
      <c r="D14" s="21" t="s">
        <v>421</v>
      </c>
      <c r="E14" s="64">
        <v>0.29399999999999998</v>
      </c>
      <c r="F14" s="64">
        <v>0.19600000000000001</v>
      </c>
      <c r="G14" s="193" t="s">
        <v>440</v>
      </c>
      <c r="H14" s="65">
        <v>0.125</v>
      </c>
      <c r="I14" s="24"/>
      <c r="J14" s="25"/>
      <c r="K14" s="24"/>
      <c r="L14" s="24"/>
      <c r="M14" s="26"/>
    </row>
    <row r="15" spans="2:13" x14ac:dyDescent="0.2">
      <c r="B15" s="12" t="s">
        <v>424</v>
      </c>
      <c r="C15" s="116"/>
      <c r="D15" s="12"/>
      <c r="E15" s="185"/>
      <c r="F15" s="117"/>
      <c r="G15" s="10"/>
      <c r="H15" s="72"/>
      <c r="I15" s="118"/>
      <c r="J15" s="17"/>
      <c r="K15" s="118"/>
      <c r="L15" s="118"/>
      <c r="M15" s="18"/>
    </row>
    <row r="16" spans="2:13" x14ac:dyDescent="0.2">
      <c r="B16" s="12"/>
      <c r="C16" s="116" t="s">
        <v>423</v>
      </c>
      <c r="D16" s="12" t="s">
        <v>418</v>
      </c>
      <c r="E16" s="195">
        <v>0.55000000000000004</v>
      </c>
      <c r="F16" s="196">
        <v>0.501</v>
      </c>
      <c r="G16" s="197" t="s">
        <v>429</v>
      </c>
      <c r="H16" s="103">
        <v>4.1000000000000002E-2</v>
      </c>
      <c r="I16" s="118"/>
      <c r="J16" s="17"/>
      <c r="K16" s="118"/>
      <c r="L16" s="118"/>
      <c r="M16" s="18"/>
    </row>
    <row r="17" spans="2:13" x14ac:dyDescent="0.2">
      <c r="B17" s="12"/>
      <c r="C17" s="116" t="s">
        <v>427</v>
      </c>
      <c r="D17" s="12" t="s">
        <v>419</v>
      </c>
      <c r="E17" s="181">
        <v>7.0000000000000001E-3</v>
      </c>
      <c r="F17" s="121">
        <v>7.0000000000000001E-3</v>
      </c>
      <c r="G17" s="45">
        <v>0</v>
      </c>
      <c r="H17" s="52">
        <v>-2E-3</v>
      </c>
      <c r="I17" s="118"/>
      <c r="J17" s="17"/>
      <c r="K17" s="118"/>
      <c r="L17" s="118"/>
      <c r="M17" s="18"/>
    </row>
    <row r="18" spans="2:13" x14ac:dyDescent="0.2">
      <c r="B18" s="12"/>
      <c r="C18" s="116" t="s">
        <v>428</v>
      </c>
      <c r="D18" s="12" t="s">
        <v>419</v>
      </c>
      <c r="E18" s="182">
        <v>0.25</v>
      </c>
      <c r="F18" s="191">
        <v>0.32300000000000001</v>
      </c>
      <c r="G18" s="192" t="s">
        <v>430</v>
      </c>
      <c r="H18" s="55">
        <v>-0.10299999999999999</v>
      </c>
      <c r="I18" s="118"/>
      <c r="J18" s="17"/>
      <c r="K18" s="118"/>
      <c r="L18" s="118"/>
      <c r="M18" s="18"/>
    </row>
    <row r="19" spans="2:13" x14ac:dyDescent="0.2">
      <c r="B19" s="12"/>
      <c r="C19" s="116" t="s">
        <v>420</v>
      </c>
      <c r="D19" s="12" t="s">
        <v>421</v>
      </c>
      <c r="E19" s="183">
        <v>0.29099999999999998</v>
      </c>
      <c r="F19" s="64">
        <v>0.17</v>
      </c>
      <c r="G19" s="193" t="s">
        <v>431</v>
      </c>
      <c r="H19" s="65">
        <v>0.14599999999999999</v>
      </c>
      <c r="I19" s="118"/>
      <c r="J19" s="17"/>
      <c r="K19" s="118"/>
      <c r="L19" s="118"/>
      <c r="M19" s="18"/>
    </row>
    <row r="20" spans="2:13" x14ac:dyDescent="0.2">
      <c r="B20" s="34" t="s">
        <v>425</v>
      </c>
      <c r="C20" s="35"/>
      <c r="D20" s="34"/>
      <c r="E20" s="185"/>
      <c r="F20" s="117"/>
      <c r="G20" s="10"/>
      <c r="H20" s="72"/>
      <c r="I20" s="6"/>
      <c r="J20" s="7"/>
      <c r="K20" s="6"/>
      <c r="L20" s="6"/>
      <c r="M20" s="8"/>
    </row>
    <row r="21" spans="2:13" x14ac:dyDescent="0.2">
      <c r="B21" s="12"/>
      <c r="C21" s="116" t="s">
        <v>423</v>
      </c>
      <c r="D21" s="12" t="s">
        <v>418</v>
      </c>
      <c r="E21" s="182">
        <v>0.79400000000000004</v>
      </c>
      <c r="F21" s="191">
        <v>0.72099999999999997</v>
      </c>
      <c r="G21" s="192" t="s">
        <v>435</v>
      </c>
      <c r="H21" s="55">
        <v>3.7999999999999999E-2</v>
      </c>
      <c r="I21" s="118"/>
      <c r="J21" s="17"/>
      <c r="K21" s="118"/>
      <c r="L21" s="118"/>
      <c r="M21" s="18"/>
    </row>
    <row r="22" spans="2:13" x14ac:dyDescent="0.2">
      <c r="B22" s="12"/>
      <c r="C22" s="116" t="s">
        <v>427</v>
      </c>
      <c r="D22" s="12" t="s">
        <v>419</v>
      </c>
      <c r="E22" s="198">
        <v>0.109</v>
      </c>
      <c r="F22" s="199">
        <v>9.1999999999999998E-2</v>
      </c>
      <c r="G22" s="200">
        <v>1.08</v>
      </c>
      <c r="H22" s="201">
        <v>3.5000000000000003E-2</v>
      </c>
      <c r="I22" s="118"/>
      <c r="J22" s="17"/>
      <c r="K22" s="118"/>
      <c r="L22" s="118"/>
      <c r="M22" s="18"/>
    </row>
    <row r="23" spans="2:13" x14ac:dyDescent="0.2">
      <c r="B23" s="12"/>
      <c r="C23" s="116" t="s">
        <v>428</v>
      </c>
      <c r="D23" s="12" t="s">
        <v>419</v>
      </c>
      <c r="E23" s="182">
        <v>0.14799999999999999</v>
      </c>
      <c r="F23" s="191">
        <v>0.24299999999999999</v>
      </c>
      <c r="G23" s="192" t="s">
        <v>436</v>
      </c>
      <c r="H23" s="55">
        <v>-0.14799999999999999</v>
      </c>
      <c r="I23" s="118"/>
      <c r="J23" s="17"/>
      <c r="K23" s="118"/>
      <c r="L23" s="118"/>
      <c r="M23" s="18"/>
    </row>
    <row r="24" spans="2:13" x14ac:dyDescent="0.2">
      <c r="B24" s="19"/>
      <c r="C24" s="190" t="s">
        <v>420</v>
      </c>
      <c r="D24" s="21" t="s">
        <v>421</v>
      </c>
      <c r="E24" s="64">
        <v>0.53400000000000003</v>
      </c>
      <c r="F24" s="64">
        <v>0.38600000000000001</v>
      </c>
      <c r="G24" s="184" t="s">
        <v>437</v>
      </c>
      <c r="H24" s="65">
        <v>0.14799999999999999</v>
      </c>
      <c r="I24" s="24"/>
      <c r="J24" s="25"/>
      <c r="K24" s="24"/>
      <c r="L24" s="24"/>
      <c r="M24" s="26"/>
    </row>
    <row r="25" spans="2:13" x14ac:dyDescent="0.2">
      <c r="B25" s="12" t="s">
        <v>426</v>
      </c>
      <c r="C25" s="116"/>
      <c r="D25" s="12"/>
      <c r="E25" s="185"/>
      <c r="F25" s="117"/>
      <c r="G25" s="10"/>
      <c r="H25" s="72"/>
      <c r="I25" s="118"/>
      <c r="J25" s="17"/>
      <c r="K25" s="118"/>
      <c r="L25" s="118"/>
      <c r="M25" s="18"/>
    </row>
    <row r="26" spans="2:13" x14ac:dyDescent="0.2">
      <c r="B26" s="12"/>
      <c r="C26" s="116" t="s">
        <v>423</v>
      </c>
      <c r="D26" s="12" t="s">
        <v>418</v>
      </c>
      <c r="E26" s="195">
        <v>0.85799999999999998</v>
      </c>
      <c r="F26" s="196">
        <v>0.80700000000000005</v>
      </c>
      <c r="G26" s="197" t="s">
        <v>432</v>
      </c>
      <c r="H26" s="103">
        <v>1.9E-2</v>
      </c>
      <c r="I26" s="118"/>
      <c r="J26" s="17"/>
      <c r="K26" s="118"/>
      <c r="L26" s="118"/>
      <c r="M26" s="18"/>
    </row>
    <row r="27" spans="2:13" x14ac:dyDescent="0.2">
      <c r="B27" s="12"/>
      <c r="C27" s="116" t="s">
        <v>427</v>
      </c>
      <c r="D27" s="12" t="s">
        <v>419</v>
      </c>
      <c r="E27" s="195">
        <v>0.10100000000000001</v>
      </c>
      <c r="F27" s="196">
        <v>0.13</v>
      </c>
      <c r="G27" s="197" t="s">
        <v>410</v>
      </c>
      <c r="H27" s="103">
        <v>7.0000000000000001E-3</v>
      </c>
      <c r="I27" s="118"/>
      <c r="J27" s="17"/>
      <c r="K27" s="118"/>
      <c r="L27" s="118"/>
      <c r="M27" s="18"/>
    </row>
    <row r="28" spans="2:13" x14ac:dyDescent="0.2">
      <c r="B28" s="12"/>
      <c r="C28" s="116" t="s">
        <v>428</v>
      </c>
      <c r="D28" s="12" t="s">
        <v>419</v>
      </c>
      <c r="E28" s="182">
        <v>0.155</v>
      </c>
      <c r="F28" s="191">
        <v>0.25800000000000001</v>
      </c>
      <c r="G28" s="192" t="s">
        <v>433</v>
      </c>
      <c r="H28" s="55">
        <v>-0.151</v>
      </c>
      <c r="I28" s="118"/>
      <c r="J28" s="17"/>
      <c r="K28" s="118"/>
      <c r="L28" s="118"/>
      <c r="M28" s="18"/>
    </row>
    <row r="29" spans="2:13" ht="16" thickBot="1" x14ac:dyDescent="0.25">
      <c r="B29" s="73"/>
      <c r="C29" s="74" t="s">
        <v>420</v>
      </c>
      <c r="D29" s="73" t="s">
        <v>421</v>
      </c>
      <c r="E29" s="187">
        <v>0.59699999999999998</v>
      </c>
      <c r="F29" s="188">
        <v>0.41899999999999998</v>
      </c>
      <c r="G29" s="194" t="s">
        <v>434</v>
      </c>
      <c r="H29" s="189">
        <v>0.16400000000000001</v>
      </c>
      <c r="I29" s="77"/>
      <c r="J29" s="78"/>
      <c r="K29" s="77"/>
      <c r="L29" s="77"/>
      <c r="M29" s="79"/>
    </row>
  </sheetData>
  <mergeCells count="4">
    <mergeCell ref="B4:C5"/>
    <mergeCell ref="D4:D5"/>
    <mergeCell ref="E4:H4"/>
    <mergeCell ref="I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75A3-CA9E-A941-B229-F4690CDA2447}">
  <dimension ref="C4:N26"/>
  <sheetViews>
    <sheetView workbookViewId="0">
      <selection activeCell="E3" sqref="E3"/>
    </sheetView>
  </sheetViews>
  <sheetFormatPr baseColWidth="10" defaultRowHeight="15" x14ac:dyDescent="0.2"/>
  <cols>
    <col min="4" max="4" width="25.6640625" bestFit="1" customWidth="1"/>
    <col min="5" max="5" width="32" bestFit="1" customWidth="1"/>
  </cols>
  <sheetData>
    <row r="4" spans="3:14" ht="16" thickBot="1" x14ac:dyDescent="0.25"/>
    <row r="5" spans="3:14" ht="15" customHeight="1" x14ac:dyDescent="0.2">
      <c r="C5" s="325"/>
      <c r="D5" s="327"/>
      <c r="E5" s="308" t="s">
        <v>297</v>
      </c>
      <c r="F5" s="310" t="s">
        <v>298</v>
      </c>
      <c r="G5" s="311"/>
      <c r="H5" s="311"/>
      <c r="I5" s="319"/>
      <c r="J5" s="331" t="s">
        <v>299</v>
      </c>
      <c r="K5" s="332"/>
      <c r="L5" s="332"/>
      <c r="M5" s="332"/>
      <c r="N5" s="339"/>
    </row>
    <row r="6" spans="3:14" x14ac:dyDescent="0.2">
      <c r="C6" s="337"/>
      <c r="D6" s="338"/>
      <c r="E6" s="309"/>
      <c r="F6" s="138" t="s">
        <v>300</v>
      </c>
      <c r="G6" s="3" t="s">
        <v>301</v>
      </c>
      <c r="H6" s="4" t="s">
        <v>302</v>
      </c>
      <c r="I6" s="5" t="s">
        <v>303</v>
      </c>
      <c r="J6" s="178" t="s">
        <v>304</v>
      </c>
      <c r="K6" s="179" t="s">
        <v>305</v>
      </c>
      <c r="L6" s="178" t="s">
        <v>306</v>
      </c>
      <c r="M6" s="179" t="s">
        <v>307</v>
      </c>
      <c r="N6" s="180" t="s">
        <v>308</v>
      </c>
    </row>
    <row r="7" spans="3:14" x14ac:dyDescent="0.2">
      <c r="C7" s="12" t="s">
        <v>444</v>
      </c>
      <c r="D7" s="116"/>
      <c r="E7" s="12"/>
      <c r="F7" s="12"/>
      <c r="G7" s="116"/>
      <c r="H7" s="10"/>
      <c r="I7" s="11"/>
      <c r="J7" s="118"/>
      <c r="K7" s="17"/>
      <c r="L7" s="118"/>
      <c r="M7" s="118"/>
      <c r="N7" s="18"/>
    </row>
    <row r="8" spans="3:14" x14ac:dyDescent="0.2">
      <c r="C8" s="12"/>
      <c r="D8" s="116" t="s">
        <v>445</v>
      </c>
      <c r="E8" s="12" t="s">
        <v>446</v>
      </c>
      <c r="F8" s="182">
        <v>0.34399999999999997</v>
      </c>
      <c r="G8" s="202">
        <v>0.433</v>
      </c>
      <c r="H8" s="206" t="s">
        <v>470</v>
      </c>
      <c r="I8" s="55">
        <f>F8-G8</f>
        <v>-8.9000000000000024E-2</v>
      </c>
      <c r="J8" s="300"/>
      <c r="K8" s="17"/>
      <c r="L8" s="118"/>
      <c r="M8" s="118"/>
      <c r="N8" s="18"/>
    </row>
    <row r="9" spans="3:14" x14ac:dyDescent="0.2">
      <c r="C9" s="12"/>
      <c r="D9" s="116" t="s">
        <v>447</v>
      </c>
      <c r="E9" s="12" t="s">
        <v>448</v>
      </c>
      <c r="F9" s="181">
        <v>4.2000000000000003E-2</v>
      </c>
      <c r="G9" s="58">
        <v>0.04</v>
      </c>
      <c r="H9" s="207">
        <v>0.251</v>
      </c>
      <c r="I9" s="52">
        <f>F9-G9</f>
        <v>2.0000000000000018E-3</v>
      </c>
      <c r="J9" s="118"/>
      <c r="K9" s="17"/>
      <c r="L9" s="118"/>
      <c r="M9" s="118"/>
      <c r="N9" s="18"/>
    </row>
    <row r="10" spans="3:14" x14ac:dyDescent="0.2">
      <c r="C10" s="12"/>
      <c r="D10" s="116" t="s">
        <v>449</v>
      </c>
      <c r="E10" s="12" t="s">
        <v>450</v>
      </c>
      <c r="F10" s="182">
        <v>3.2000000000000001E-2</v>
      </c>
      <c r="G10" s="202">
        <v>7.1999999999999995E-2</v>
      </c>
      <c r="H10" s="206" t="s">
        <v>472</v>
      </c>
      <c r="I10" s="55">
        <f>F10-G10</f>
        <v>-3.9999999999999994E-2</v>
      </c>
      <c r="J10" s="118"/>
      <c r="K10" s="17"/>
      <c r="L10" s="118"/>
      <c r="M10" s="118"/>
      <c r="N10" s="18"/>
    </row>
    <row r="11" spans="3:14" x14ac:dyDescent="0.2">
      <c r="C11" s="12"/>
      <c r="D11" s="116" t="s">
        <v>451</v>
      </c>
      <c r="E11" s="12" t="s">
        <v>421</v>
      </c>
      <c r="F11" s="203">
        <v>0.26400000000000001</v>
      </c>
      <c r="G11" s="204">
        <v>0.314</v>
      </c>
      <c r="H11" s="205" t="s">
        <v>471</v>
      </c>
      <c r="I11" s="57">
        <f>F11-G11</f>
        <v>-4.9999999999999989E-2</v>
      </c>
      <c r="J11" s="118"/>
      <c r="K11" s="17"/>
      <c r="L11" s="118"/>
      <c r="M11" s="118"/>
      <c r="N11" s="18"/>
    </row>
    <row r="12" spans="3:14" x14ac:dyDescent="0.2">
      <c r="C12" s="34" t="s">
        <v>452</v>
      </c>
      <c r="D12" s="35"/>
      <c r="E12" s="34"/>
      <c r="F12" s="185"/>
      <c r="G12" s="130"/>
      <c r="H12" s="116"/>
      <c r="I12" s="72"/>
      <c r="J12" s="6"/>
      <c r="K12" s="7"/>
      <c r="L12" s="6"/>
      <c r="M12" s="6"/>
      <c r="N12" s="8"/>
    </row>
    <row r="13" spans="3:14" x14ac:dyDescent="0.2">
      <c r="C13" s="12"/>
      <c r="D13" s="116" t="s">
        <v>445</v>
      </c>
      <c r="E13" s="12" t="s">
        <v>446</v>
      </c>
      <c r="F13" s="181">
        <v>0.26300000000000001</v>
      </c>
      <c r="G13" s="58">
        <v>0.29499999999999998</v>
      </c>
      <c r="H13" s="208" t="s">
        <v>467</v>
      </c>
      <c r="I13" s="52">
        <f>F13-G13</f>
        <v>-3.1999999999999973E-2</v>
      </c>
      <c r="J13" s="118"/>
      <c r="K13" s="17"/>
      <c r="L13" s="118"/>
      <c r="M13" s="118"/>
      <c r="N13" s="18"/>
    </row>
    <row r="14" spans="3:14" x14ac:dyDescent="0.2">
      <c r="C14" s="12"/>
      <c r="D14" s="116" t="s">
        <v>447</v>
      </c>
      <c r="E14" s="12" t="s">
        <v>448</v>
      </c>
      <c r="F14" s="195">
        <v>6.9000000000000006E-2</v>
      </c>
      <c r="G14" s="210">
        <v>9.0999999999999998E-2</v>
      </c>
      <c r="H14" s="211" t="s">
        <v>468</v>
      </c>
      <c r="I14" s="103">
        <f t="shared" ref="I14:I26" si="0">F14-G14</f>
        <v>-2.1999999999999992E-2</v>
      </c>
      <c r="J14" s="118"/>
      <c r="K14" s="17"/>
      <c r="L14" s="118"/>
      <c r="M14" s="118"/>
      <c r="N14" s="18"/>
    </row>
    <row r="15" spans="3:14" x14ac:dyDescent="0.2">
      <c r="C15" s="12"/>
      <c r="D15" s="116" t="s">
        <v>449</v>
      </c>
      <c r="E15" s="12" t="s">
        <v>450</v>
      </c>
      <c r="F15" s="181">
        <v>1.7999999999999999E-2</v>
      </c>
      <c r="G15" s="58">
        <v>3.1E-2</v>
      </c>
      <c r="H15" s="207">
        <v>-1.601</v>
      </c>
      <c r="I15" s="52">
        <f t="shared" si="0"/>
        <v>-1.3000000000000001E-2</v>
      </c>
      <c r="J15" s="118"/>
      <c r="K15" s="17"/>
      <c r="L15" s="118"/>
      <c r="M15" s="118"/>
      <c r="N15" s="18"/>
    </row>
    <row r="16" spans="3:14" x14ac:dyDescent="0.2">
      <c r="C16" s="19"/>
      <c r="D16" s="20" t="s">
        <v>451</v>
      </c>
      <c r="E16" s="21" t="s">
        <v>421</v>
      </c>
      <c r="F16" s="56">
        <v>0.17</v>
      </c>
      <c r="G16" s="204">
        <v>0.17100000000000001</v>
      </c>
      <c r="H16" s="205" t="s">
        <v>469</v>
      </c>
      <c r="I16" s="57">
        <f t="shared" si="0"/>
        <v>-1.0000000000000009E-3</v>
      </c>
      <c r="J16" s="24"/>
      <c r="K16" s="25"/>
      <c r="L16" s="24"/>
      <c r="M16" s="24"/>
      <c r="N16" s="26"/>
    </row>
    <row r="17" spans="3:14" x14ac:dyDescent="0.2">
      <c r="C17" s="12" t="s">
        <v>453</v>
      </c>
      <c r="D17" s="116"/>
      <c r="E17" s="12"/>
      <c r="F17" s="185"/>
      <c r="G17" s="130"/>
      <c r="H17" s="116"/>
      <c r="I17" s="52">
        <f t="shared" si="0"/>
        <v>0</v>
      </c>
      <c r="J17" s="118"/>
      <c r="K17" s="17"/>
      <c r="L17" s="118"/>
      <c r="M17" s="118"/>
      <c r="N17" s="18"/>
    </row>
    <row r="18" spans="3:14" x14ac:dyDescent="0.2">
      <c r="C18" s="12"/>
      <c r="D18" s="116" t="s">
        <v>454</v>
      </c>
      <c r="E18" s="12" t="s">
        <v>455</v>
      </c>
      <c r="F18" s="182">
        <v>0.373</v>
      </c>
      <c r="G18" s="202">
        <v>0.28100000000000003</v>
      </c>
      <c r="H18" s="209" t="s">
        <v>456</v>
      </c>
      <c r="I18" s="103">
        <f t="shared" si="0"/>
        <v>9.1999999999999971E-2</v>
      </c>
      <c r="J18" s="118"/>
      <c r="K18" s="17"/>
      <c r="L18" s="118"/>
      <c r="M18" s="118"/>
      <c r="N18" s="18"/>
    </row>
    <row r="19" spans="3:14" x14ac:dyDescent="0.2">
      <c r="C19" s="12"/>
      <c r="D19" s="116" t="s">
        <v>457</v>
      </c>
      <c r="E19" s="12" t="s">
        <v>458</v>
      </c>
      <c r="F19" s="182">
        <v>0.17199999999999999</v>
      </c>
      <c r="G19" s="202">
        <v>9.6000000000000002E-2</v>
      </c>
      <c r="H19" s="209" t="s">
        <v>459</v>
      </c>
      <c r="I19" s="103">
        <f t="shared" si="0"/>
        <v>7.5999999999999984E-2</v>
      </c>
      <c r="J19" s="118"/>
      <c r="K19" s="17"/>
      <c r="L19" s="118"/>
      <c r="M19" s="118"/>
      <c r="N19" s="18"/>
    </row>
    <row r="20" spans="3:14" x14ac:dyDescent="0.2">
      <c r="C20" s="12"/>
      <c r="D20" s="116" t="s">
        <v>460</v>
      </c>
      <c r="E20" s="12" t="s">
        <v>461</v>
      </c>
      <c r="F20" s="181">
        <v>0.01</v>
      </c>
      <c r="G20" s="58">
        <v>1.4E-2</v>
      </c>
      <c r="H20" s="207">
        <v>-0.53700000000000003</v>
      </c>
      <c r="I20" s="52">
        <f t="shared" si="0"/>
        <v>-4.0000000000000001E-3</v>
      </c>
      <c r="J20" s="118"/>
      <c r="K20" s="17"/>
      <c r="L20" s="118"/>
      <c r="M20" s="118"/>
      <c r="N20" s="18"/>
    </row>
    <row r="21" spans="3:14" x14ac:dyDescent="0.2">
      <c r="C21" s="12"/>
      <c r="D21" s="116" t="s">
        <v>462</v>
      </c>
      <c r="E21" s="12" t="s">
        <v>463</v>
      </c>
      <c r="F21" s="203">
        <v>0.20599999999999999</v>
      </c>
      <c r="G21" s="204">
        <v>0.17</v>
      </c>
      <c r="H21" s="47">
        <v>1.575</v>
      </c>
      <c r="I21" s="57">
        <f t="shared" si="0"/>
        <v>3.5999999999999976E-2</v>
      </c>
      <c r="J21" s="118"/>
      <c r="K21" s="17"/>
      <c r="L21" s="118"/>
      <c r="M21" s="118"/>
      <c r="N21" s="18"/>
    </row>
    <row r="22" spans="3:14" x14ac:dyDescent="0.2">
      <c r="C22" s="34" t="s">
        <v>464</v>
      </c>
      <c r="D22" s="35"/>
      <c r="E22" s="34"/>
      <c r="F22" s="185"/>
      <c r="G22" s="117"/>
      <c r="H22" s="10"/>
      <c r="I22" s="52">
        <f t="shared" si="0"/>
        <v>0</v>
      </c>
      <c r="J22" s="6"/>
      <c r="K22" s="7"/>
      <c r="L22" s="6"/>
      <c r="M22" s="6"/>
      <c r="N22" s="8"/>
    </row>
    <row r="23" spans="3:14" x14ac:dyDescent="0.2">
      <c r="C23" s="12"/>
      <c r="D23" s="116" t="s">
        <v>423</v>
      </c>
      <c r="E23" s="12" t="s">
        <v>465</v>
      </c>
      <c r="F23" s="195">
        <v>0.436</v>
      </c>
      <c r="G23" s="210">
        <v>0.28899999999999998</v>
      </c>
      <c r="H23" s="211" t="s">
        <v>473</v>
      </c>
      <c r="I23" s="103">
        <f t="shared" si="0"/>
        <v>0.14700000000000002</v>
      </c>
      <c r="J23" s="118"/>
      <c r="K23" s="17"/>
      <c r="L23" s="118"/>
      <c r="M23" s="118"/>
      <c r="N23" s="18"/>
    </row>
    <row r="24" spans="3:14" x14ac:dyDescent="0.2">
      <c r="C24" s="12"/>
      <c r="D24" s="116" t="s">
        <v>457</v>
      </c>
      <c r="E24" s="12" t="s">
        <v>466</v>
      </c>
      <c r="F24" s="182">
        <v>0.215</v>
      </c>
      <c r="G24" s="202">
        <v>0.11899999999999999</v>
      </c>
      <c r="H24" s="206" t="s">
        <v>474</v>
      </c>
      <c r="I24" s="103">
        <f t="shared" si="0"/>
        <v>9.6000000000000002E-2</v>
      </c>
      <c r="J24" s="118"/>
      <c r="K24" s="17"/>
      <c r="L24" s="118"/>
      <c r="M24" s="118"/>
      <c r="N24" s="18"/>
    </row>
    <row r="25" spans="3:14" x14ac:dyDescent="0.2">
      <c r="C25" s="12"/>
      <c r="D25" s="116" t="s">
        <v>460</v>
      </c>
      <c r="E25" s="12" t="s">
        <v>466</v>
      </c>
      <c r="F25" s="181">
        <v>8.0000000000000002E-3</v>
      </c>
      <c r="G25" s="58">
        <v>1.2E-2</v>
      </c>
      <c r="H25" s="208" t="s">
        <v>475</v>
      </c>
      <c r="I25" s="52">
        <f t="shared" si="0"/>
        <v>-4.0000000000000001E-3</v>
      </c>
      <c r="J25" s="118"/>
      <c r="K25" s="17"/>
      <c r="L25" s="118"/>
      <c r="M25" s="118"/>
      <c r="N25" s="18"/>
    </row>
    <row r="26" spans="3:14" ht="16" thickBot="1" x14ac:dyDescent="0.25">
      <c r="C26" s="73"/>
      <c r="D26" s="74" t="s">
        <v>462</v>
      </c>
      <c r="E26" s="73" t="s">
        <v>466</v>
      </c>
      <c r="F26" s="212">
        <v>0.20200000000000001</v>
      </c>
      <c r="G26" s="213">
        <v>0.114</v>
      </c>
      <c r="H26" s="214" t="s">
        <v>476</v>
      </c>
      <c r="I26" s="215">
        <f t="shared" si="0"/>
        <v>8.8000000000000009E-2</v>
      </c>
      <c r="J26" s="77"/>
      <c r="K26" s="78"/>
      <c r="L26" s="77"/>
      <c r="M26" s="77"/>
      <c r="N26" s="79"/>
    </row>
  </sheetData>
  <mergeCells count="4">
    <mergeCell ref="C5:D6"/>
    <mergeCell ref="E5:E6"/>
    <mergeCell ref="F5:I5"/>
    <mergeCell ref="J5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6309-FD74-0B45-94F7-5AD2B5D50ACE}">
  <dimension ref="C3:M12"/>
  <sheetViews>
    <sheetView workbookViewId="0">
      <selection activeCell="O20" sqref="O20"/>
    </sheetView>
  </sheetViews>
  <sheetFormatPr baseColWidth="10" defaultRowHeight="15" x14ac:dyDescent="0.2"/>
  <cols>
    <col min="3" max="3" width="21.5" bestFit="1" customWidth="1"/>
    <col min="4" max="4" width="19.1640625" bestFit="1" customWidth="1"/>
  </cols>
  <sheetData>
    <row r="3" spans="3:13" ht="16" thickBot="1" x14ac:dyDescent="0.25"/>
    <row r="4" spans="3:13" ht="15" customHeight="1" x14ac:dyDescent="0.2">
      <c r="C4" s="308"/>
      <c r="D4" s="340" t="s">
        <v>297</v>
      </c>
      <c r="E4" s="310" t="s">
        <v>298</v>
      </c>
      <c r="F4" s="311"/>
      <c r="G4" s="311"/>
      <c r="H4" s="312"/>
      <c r="I4" s="332" t="s">
        <v>299</v>
      </c>
      <c r="J4" s="332"/>
      <c r="K4" s="332"/>
      <c r="L4" s="332"/>
      <c r="M4" s="333"/>
    </row>
    <row r="5" spans="3:13" x14ac:dyDescent="0.2">
      <c r="C5" s="309"/>
      <c r="D5" s="341"/>
      <c r="E5" s="3" t="s">
        <v>300</v>
      </c>
      <c r="F5" s="3" t="s">
        <v>301</v>
      </c>
      <c r="G5" s="4" t="s">
        <v>302</v>
      </c>
      <c r="H5" s="5" t="s">
        <v>303</v>
      </c>
      <c r="I5" s="178" t="s">
        <v>304</v>
      </c>
      <c r="J5" s="178" t="s">
        <v>305</v>
      </c>
      <c r="K5" s="216" t="s">
        <v>306</v>
      </c>
      <c r="L5" s="179" t="s">
        <v>307</v>
      </c>
      <c r="M5" s="180" t="s">
        <v>308</v>
      </c>
    </row>
    <row r="6" spans="3:13" ht="16" x14ac:dyDescent="0.2">
      <c r="C6" s="12" t="s">
        <v>477</v>
      </c>
      <c r="D6" s="218" t="s">
        <v>478</v>
      </c>
      <c r="E6" s="226">
        <v>0.34599999999999997</v>
      </c>
      <c r="F6" s="226">
        <v>0.34100000000000003</v>
      </c>
      <c r="G6" s="44">
        <v>0.21</v>
      </c>
      <c r="H6" s="51">
        <f>E6-F6</f>
        <v>4.9999999999999489E-3</v>
      </c>
      <c r="I6" s="16"/>
      <c r="J6" s="16"/>
      <c r="K6" s="16"/>
      <c r="L6" s="16"/>
      <c r="M6" s="18"/>
    </row>
    <row r="7" spans="3:13" ht="16" x14ac:dyDescent="0.2">
      <c r="C7" s="12" t="s">
        <v>479</v>
      </c>
      <c r="D7" s="218" t="s">
        <v>480</v>
      </c>
      <c r="E7" s="226">
        <v>54.081000000000003</v>
      </c>
      <c r="F7" s="226">
        <v>55</v>
      </c>
      <c r="G7" s="219" t="s">
        <v>491</v>
      </c>
      <c r="H7" s="51">
        <f t="shared" ref="H7:H12" si="0">E7-F7</f>
        <v>-0.91899999999999693</v>
      </c>
      <c r="I7" s="16"/>
      <c r="J7" s="16"/>
      <c r="K7" s="16"/>
      <c r="L7" s="16"/>
      <c r="M7" s="18"/>
    </row>
    <row r="8" spans="3:13" ht="16" x14ac:dyDescent="0.2">
      <c r="C8" s="12" t="s">
        <v>481</v>
      </c>
      <c r="D8" s="218" t="s">
        <v>482</v>
      </c>
      <c r="E8" s="227">
        <v>37.396000000000001</v>
      </c>
      <c r="F8" s="227">
        <v>39.868000000000002</v>
      </c>
      <c r="G8" s="220" t="s">
        <v>492</v>
      </c>
      <c r="H8" s="221">
        <f t="shared" si="0"/>
        <v>-2.4720000000000013</v>
      </c>
      <c r="I8" s="16"/>
      <c r="J8" s="16"/>
      <c r="K8" s="16"/>
      <c r="L8" s="16"/>
      <c r="M8" s="18"/>
    </row>
    <row r="9" spans="3:13" ht="16" x14ac:dyDescent="0.2">
      <c r="C9" s="12" t="s">
        <v>483</v>
      </c>
      <c r="D9" s="218" t="s">
        <v>484</v>
      </c>
      <c r="E9" s="228">
        <v>48.853000000000002</v>
      </c>
      <c r="F9" s="228">
        <v>50.314999999999998</v>
      </c>
      <c r="G9" s="229" t="s">
        <v>493</v>
      </c>
      <c r="H9" s="51">
        <f t="shared" si="0"/>
        <v>-1.4619999999999962</v>
      </c>
      <c r="I9" s="16"/>
      <c r="J9" s="16"/>
      <c r="K9" s="16"/>
      <c r="L9" s="16"/>
      <c r="M9" s="18"/>
    </row>
    <row r="10" spans="3:13" x14ac:dyDescent="0.2">
      <c r="C10" s="12" t="s">
        <v>485</v>
      </c>
      <c r="D10" s="9" t="s">
        <v>486</v>
      </c>
      <c r="E10" s="222">
        <v>55.381</v>
      </c>
      <c r="F10" s="222">
        <v>55.805</v>
      </c>
      <c r="G10" s="223" t="s">
        <v>494</v>
      </c>
      <c r="H10" s="51">
        <f t="shared" si="0"/>
        <v>-0.42399999999999949</v>
      </c>
      <c r="I10" s="16"/>
      <c r="J10" s="16"/>
      <c r="K10" s="16"/>
      <c r="L10" s="16"/>
      <c r="M10" s="18"/>
    </row>
    <row r="11" spans="3:13" x14ac:dyDescent="0.2">
      <c r="C11" s="12" t="s">
        <v>487</v>
      </c>
      <c r="D11" s="9" t="s">
        <v>488</v>
      </c>
      <c r="E11" s="222">
        <v>35.613</v>
      </c>
      <c r="F11" s="222">
        <v>34.524999999999999</v>
      </c>
      <c r="G11" s="223">
        <v>1.1220000000000001</v>
      </c>
      <c r="H11" s="51">
        <f t="shared" si="0"/>
        <v>1.088000000000001</v>
      </c>
      <c r="I11" s="16"/>
      <c r="J11" s="16"/>
      <c r="K11" s="16"/>
      <c r="L11" s="16"/>
      <c r="M11" s="18"/>
    </row>
    <row r="12" spans="3:13" ht="16" thickBot="1" x14ac:dyDescent="0.25">
      <c r="C12" s="73" t="s">
        <v>489</v>
      </c>
      <c r="D12" s="76" t="s">
        <v>490</v>
      </c>
      <c r="E12" s="224">
        <v>9.0549999999999997</v>
      </c>
      <c r="F12" s="224">
        <v>9.69</v>
      </c>
      <c r="G12" s="225" t="s">
        <v>495</v>
      </c>
      <c r="H12" s="68">
        <f t="shared" si="0"/>
        <v>-0.63499999999999979</v>
      </c>
      <c r="I12" s="77"/>
      <c r="J12" s="77"/>
      <c r="K12" s="77"/>
      <c r="L12" s="77"/>
      <c r="M12" s="79"/>
    </row>
  </sheetData>
  <mergeCells count="4">
    <mergeCell ref="C4:C5"/>
    <mergeCell ref="D4:D5"/>
    <mergeCell ref="E4:H4"/>
    <mergeCell ref="I4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245E-EC82-A74F-8E49-76CF8B226F59}">
  <dimension ref="B3:P56"/>
  <sheetViews>
    <sheetView workbookViewId="0">
      <selection activeCell="C49" sqref="C49"/>
    </sheetView>
  </sheetViews>
  <sheetFormatPr baseColWidth="10" defaultRowHeight="15" x14ac:dyDescent="0.2"/>
  <cols>
    <col min="3" max="3" width="24.5" bestFit="1" customWidth="1"/>
    <col min="4" max="4" width="12" bestFit="1" customWidth="1"/>
    <col min="5" max="5" width="15.1640625" bestFit="1" customWidth="1"/>
  </cols>
  <sheetData>
    <row r="3" spans="2:16" x14ac:dyDescent="0.2"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2:16" ht="16" thickBot="1" x14ac:dyDescent="0.25"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2:16" ht="16" thickBot="1" x14ac:dyDescent="0.25">
      <c r="B5" s="156"/>
      <c r="C5" s="342" t="s">
        <v>791</v>
      </c>
      <c r="D5" s="343"/>
      <c r="E5" s="343"/>
      <c r="F5" s="343"/>
      <c r="G5" s="343"/>
      <c r="H5" s="343"/>
      <c r="I5" s="343"/>
      <c r="J5" s="343"/>
      <c r="K5" s="343"/>
      <c r="L5" s="343"/>
      <c r="M5" s="344"/>
      <c r="N5" s="156"/>
      <c r="O5" s="156"/>
      <c r="P5" s="156"/>
    </row>
    <row r="6" spans="2:16" x14ac:dyDescent="0.2">
      <c r="B6" s="156"/>
      <c r="C6" s="262"/>
      <c r="D6" s="345" t="s">
        <v>785</v>
      </c>
      <c r="E6" s="346"/>
      <c r="F6" s="346"/>
      <c r="G6" s="346"/>
      <c r="H6" s="347"/>
      <c r="I6" s="345" t="s">
        <v>786</v>
      </c>
      <c r="J6" s="346"/>
      <c r="K6" s="346"/>
      <c r="L6" s="346"/>
      <c r="M6" s="347"/>
      <c r="N6" s="156"/>
      <c r="O6" s="156"/>
      <c r="P6" s="156"/>
    </row>
    <row r="7" spans="2:16" ht="16" x14ac:dyDescent="0.2">
      <c r="B7" s="156"/>
      <c r="C7" s="253" t="s">
        <v>297</v>
      </c>
      <c r="D7" s="253" t="s">
        <v>783</v>
      </c>
      <c r="E7" s="248" t="s">
        <v>304</v>
      </c>
      <c r="F7" s="248" t="s">
        <v>784</v>
      </c>
      <c r="G7" s="248" t="s">
        <v>307</v>
      </c>
      <c r="H7" s="254" t="s">
        <v>308</v>
      </c>
      <c r="I7" s="253" t="s">
        <v>783</v>
      </c>
      <c r="J7" s="248" t="s">
        <v>304</v>
      </c>
      <c r="K7" s="248" t="s">
        <v>784</v>
      </c>
      <c r="L7" s="248" t="s">
        <v>307</v>
      </c>
      <c r="M7" s="254" t="s">
        <v>308</v>
      </c>
      <c r="N7" s="156"/>
      <c r="O7" s="156"/>
      <c r="P7" s="156"/>
    </row>
    <row r="8" spans="2:16" x14ac:dyDescent="0.2">
      <c r="B8" s="156"/>
      <c r="C8" s="27" t="s">
        <v>8</v>
      </c>
      <c r="D8" s="253">
        <v>793</v>
      </c>
      <c r="E8" s="250">
        <v>40.658259999999999</v>
      </c>
      <c r="F8" s="250">
        <v>11.76455</v>
      </c>
      <c r="G8" s="248">
        <v>16</v>
      </c>
      <c r="H8" s="254">
        <v>82</v>
      </c>
      <c r="I8" s="253">
        <v>797</v>
      </c>
      <c r="J8" s="250">
        <v>49.893349999999998</v>
      </c>
      <c r="K8" s="250">
        <v>13.147309999999999</v>
      </c>
      <c r="L8" s="248">
        <v>15</v>
      </c>
      <c r="M8" s="254">
        <v>87</v>
      </c>
      <c r="N8" s="156"/>
      <c r="O8" s="156"/>
      <c r="P8" s="156"/>
    </row>
    <row r="9" spans="2:16" x14ac:dyDescent="0.2">
      <c r="B9" s="156"/>
      <c r="C9" s="27" t="s">
        <v>9</v>
      </c>
      <c r="D9" s="253">
        <v>793</v>
      </c>
      <c r="E9" s="250">
        <v>1.0214380000000001</v>
      </c>
      <c r="F9" s="250">
        <v>0.20912140000000001</v>
      </c>
      <c r="G9" s="248">
        <v>1</v>
      </c>
      <c r="H9" s="254">
        <v>4</v>
      </c>
      <c r="I9" s="253">
        <v>797</v>
      </c>
      <c r="J9" s="250">
        <v>1.038896</v>
      </c>
      <c r="K9" s="250">
        <v>0.35050969999999998</v>
      </c>
      <c r="L9" s="248">
        <v>1</v>
      </c>
      <c r="M9" s="254">
        <v>5</v>
      </c>
      <c r="N9" s="156"/>
      <c r="O9" s="156"/>
      <c r="P9" s="156"/>
    </row>
    <row r="10" spans="2:16" x14ac:dyDescent="0.2">
      <c r="B10" s="156"/>
      <c r="C10" s="27" t="s">
        <v>10</v>
      </c>
      <c r="D10" s="253">
        <v>793</v>
      </c>
      <c r="E10" s="250">
        <v>8.0882719999999999</v>
      </c>
      <c r="F10" s="250">
        <v>4.9624629999999996</v>
      </c>
      <c r="G10" s="248">
        <v>0</v>
      </c>
      <c r="H10" s="254">
        <v>26</v>
      </c>
      <c r="I10" s="253">
        <v>797</v>
      </c>
      <c r="J10" s="250">
        <v>9.3801760000000005</v>
      </c>
      <c r="K10" s="250">
        <v>4.7505360000000003</v>
      </c>
      <c r="L10" s="248">
        <v>0</v>
      </c>
      <c r="M10" s="254">
        <v>22</v>
      </c>
      <c r="N10" s="156"/>
      <c r="O10" s="156"/>
      <c r="P10" s="156"/>
    </row>
    <row r="11" spans="2:16" x14ac:dyDescent="0.2">
      <c r="B11" s="156"/>
      <c r="C11" s="27" t="s">
        <v>11</v>
      </c>
      <c r="D11" s="253">
        <v>791</v>
      </c>
      <c r="E11" s="250">
        <v>1.986094</v>
      </c>
      <c r="F11" s="250">
        <v>0.1976028</v>
      </c>
      <c r="G11" s="248">
        <v>1</v>
      </c>
      <c r="H11" s="254">
        <v>5</v>
      </c>
      <c r="I11" s="253">
        <v>797</v>
      </c>
      <c r="J11" s="250">
        <v>1.0664990000000001</v>
      </c>
      <c r="K11" s="250">
        <v>0.27790389999999998</v>
      </c>
      <c r="L11" s="248">
        <v>1</v>
      </c>
      <c r="M11" s="254">
        <v>3</v>
      </c>
      <c r="N11" s="156"/>
      <c r="O11" s="156"/>
      <c r="P11" s="156"/>
    </row>
    <row r="12" spans="2:16" x14ac:dyDescent="0.2">
      <c r="B12" s="156"/>
      <c r="C12" s="27" t="s">
        <v>12</v>
      </c>
      <c r="D12" s="253">
        <v>791</v>
      </c>
      <c r="E12" s="250">
        <v>1.6864730000000001</v>
      </c>
      <c r="F12" s="250">
        <v>1.263031</v>
      </c>
      <c r="G12" s="248">
        <v>0</v>
      </c>
      <c r="H12" s="254">
        <v>8</v>
      </c>
      <c r="I12" s="253">
        <v>797</v>
      </c>
      <c r="J12" s="250">
        <v>1.350063</v>
      </c>
      <c r="K12" s="250">
        <v>0.86916210000000005</v>
      </c>
      <c r="L12" s="248">
        <v>0</v>
      </c>
      <c r="M12" s="254">
        <v>8</v>
      </c>
      <c r="N12" s="156"/>
      <c r="O12" s="156"/>
      <c r="P12" s="156"/>
    </row>
    <row r="13" spans="2:16" x14ac:dyDescent="0.2">
      <c r="B13" s="156"/>
      <c r="C13" s="27" t="s">
        <v>13</v>
      </c>
      <c r="D13" s="253">
        <v>791</v>
      </c>
      <c r="E13" s="250">
        <v>0.6637168</v>
      </c>
      <c r="F13" s="250">
        <v>0.47273599999999999</v>
      </c>
      <c r="G13" s="248">
        <v>0</v>
      </c>
      <c r="H13" s="254">
        <v>1</v>
      </c>
      <c r="I13" s="253">
        <v>797</v>
      </c>
      <c r="J13" s="250">
        <v>0.54203259999999998</v>
      </c>
      <c r="K13" s="250">
        <v>0.49854300000000001</v>
      </c>
      <c r="L13" s="248">
        <v>0</v>
      </c>
      <c r="M13" s="254">
        <v>1</v>
      </c>
      <c r="N13" s="156"/>
      <c r="O13" s="156"/>
      <c r="P13" s="156"/>
    </row>
    <row r="14" spans="2:16" x14ac:dyDescent="0.2">
      <c r="B14" s="156"/>
      <c r="C14" s="27" t="s">
        <v>14</v>
      </c>
      <c r="D14" s="253">
        <v>528</v>
      </c>
      <c r="E14" s="250">
        <v>2.950758</v>
      </c>
      <c r="F14" s="250">
        <v>2.2904469999999999</v>
      </c>
      <c r="G14" s="248">
        <v>0</v>
      </c>
      <c r="H14" s="254">
        <v>8</v>
      </c>
      <c r="I14" s="253">
        <v>431</v>
      </c>
      <c r="J14" s="250">
        <v>2.4037120000000001</v>
      </c>
      <c r="K14" s="250">
        <v>1.5520080000000001</v>
      </c>
      <c r="L14" s="248">
        <v>0</v>
      </c>
      <c r="M14" s="254">
        <v>8</v>
      </c>
      <c r="N14" s="156"/>
      <c r="O14" s="156"/>
      <c r="P14" s="156"/>
    </row>
    <row r="15" spans="2:16" x14ac:dyDescent="0.2">
      <c r="B15" s="156"/>
      <c r="C15" s="27" t="s">
        <v>15</v>
      </c>
      <c r="D15" s="253">
        <v>789</v>
      </c>
      <c r="E15" s="250">
        <v>2.2319390000000001</v>
      </c>
      <c r="F15" s="250">
        <v>1.1753359999999999</v>
      </c>
      <c r="G15" s="248">
        <v>1</v>
      </c>
      <c r="H15" s="254">
        <v>6</v>
      </c>
      <c r="I15" s="253">
        <v>796</v>
      </c>
      <c r="J15" s="250">
        <v>1.811558</v>
      </c>
      <c r="K15" s="250">
        <v>0.93548739999999997</v>
      </c>
      <c r="L15" s="248">
        <v>1</v>
      </c>
      <c r="M15" s="254">
        <v>6</v>
      </c>
      <c r="N15" s="156"/>
      <c r="O15" s="156"/>
      <c r="P15" s="156"/>
    </row>
    <row r="16" spans="2:16" x14ac:dyDescent="0.2">
      <c r="B16" s="156"/>
      <c r="C16" s="27" t="s">
        <v>16</v>
      </c>
      <c r="D16" s="253">
        <v>796</v>
      </c>
      <c r="E16" s="250">
        <v>2.1092960000000001</v>
      </c>
      <c r="F16" s="250">
        <v>1.27949</v>
      </c>
      <c r="G16" s="248">
        <v>0</v>
      </c>
      <c r="H16" s="254">
        <v>7</v>
      </c>
      <c r="I16" s="253">
        <v>797</v>
      </c>
      <c r="J16" s="250">
        <v>2.2898369999999999</v>
      </c>
      <c r="K16" s="250">
        <v>1.4362710000000001</v>
      </c>
      <c r="L16" s="248">
        <v>0</v>
      </c>
      <c r="M16" s="254">
        <v>10</v>
      </c>
      <c r="N16" s="156"/>
      <c r="O16" s="156"/>
      <c r="P16" s="156"/>
    </row>
    <row r="17" spans="2:16" x14ac:dyDescent="0.2">
      <c r="B17" s="156"/>
      <c r="C17" s="27" t="s">
        <v>17</v>
      </c>
      <c r="D17" s="253">
        <v>796</v>
      </c>
      <c r="E17" s="250">
        <v>2.1821609999999998</v>
      </c>
      <c r="F17" s="250">
        <v>1.344257</v>
      </c>
      <c r="G17" s="248">
        <v>0</v>
      </c>
      <c r="H17" s="254">
        <v>12</v>
      </c>
      <c r="I17" s="253">
        <v>797</v>
      </c>
      <c r="J17" s="250">
        <v>2.2509410000000001</v>
      </c>
      <c r="K17" s="250">
        <v>1.4052180000000001</v>
      </c>
      <c r="L17" s="248">
        <v>0</v>
      </c>
      <c r="M17" s="254">
        <v>15</v>
      </c>
      <c r="N17" s="156"/>
      <c r="O17" s="156"/>
      <c r="P17" s="156"/>
    </row>
    <row r="18" spans="2:16" ht="16" thickBot="1" x14ac:dyDescent="0.25">
      <c r="B18" s="156"/>
      <c r="C18" s="186" t="s">
        <v>18</v>
      </c>
      <c r="D18" s="257">
        <v>797</v>
      </c>
      <c r="E18" s="258">
        <v>2.5909659999999999</v>
      </c>
      <c r="F18" s="258">
        <v>2.1776200000000001</v>
      </c>
      <c r="G18" s="259">
        <v>0</v>
      </c>
      <c r="H18" s="263">
        <v>20</v>
      </c>
      <c r="I18" s="257">
        <v>797</v>
      </c>
      <c r="J18" s="258">
        <v>2.7515679999999998</v>
      </c>
      <c r="K18" s="258">
        <v>2.3481019999999999</v>
      </c>
      <c r="L18" s="259">
        <v>0</v>
      </c>
      <c r="M18" s="263">
        <v>20</v>
      </c>
      <c r="N18" s="156"/>
      <c r="O18" s="156"/>
      <c r="P18" s="156"/>
    </row>
    <row r="19" spans="2:16" x14ac:dyDescent="0.2"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</row>
    <row r="20" spans="2:16" x14ac:dyDescent="0.2"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2:16" ht="16" thickBot="1" x14ac:dyDescent="0.25"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spans="2:16" ht="16" thickBot="1" x14ac:dyDescent="0.25">
      <c r="B22" s="156"/>
      <c r="C22" s="351" t="s">
        <v>802</v>
      </c>
      <c r="D22" s="360"/>
      <c r="E22" s="361"/>
      <c r="F22" s="359"/>
      <c r="G22" s="156"/>
      <c r="H22" s="156"/>
      <c r="I22" s="156"/>
      <c r="J22" s="156"/>
      <c r="K22" s="156"/>
      <c r="L22" s="156"/>
      <c r="M22" s="156"/>
      <c r="N22" s="156"/>
      <c r="O22" s="156"/>
    </row>
    <row r="23" spans="2:16" x14ac:dyDescent="0.2">
      <c r="B23" s="156"/>
      <c r="C23" s="365" t="s">
        <v>815</v>
      </c>
      <c r="D23" s="365" t="s">
        <v>794</v>
      </c>
      <c r="E23" s="365" t="s">
        <v>795</v>
      </c>
      <c r="G23" s="156"/>
      <c r="H23" s="156"/>
      <c r="I23" s="156"/>
      <c r="J23" s="156"/>
      <c r="K23" s="156"/>
      <c r="L23" s="156"/>
      <c r="M23" s="156"/>
      <c r="N23" s="156"/>
      <c r="O23" s="156"/>
    </row>
    <row r="24" spans="2:16" x14ac:dyDescent="0.2">
      <c r="B24" s="156"/>
      <c r="C24" s="356" t="s">
        <v>796</v>
      </c>
      <c r="D24" s="13">
        <v>17</v>
      </c>
      <c r="E24" s="13">
        <v>750</v>
      </c>
      <c r="G24" s="156"/>
      <c r="H24" s="156"/>
      <c r="I24" s="156"/>
      <c r="J24" s="156"/>
      <c r="K24" s="156"/>
      <c r="L24" s="156"/>
      <c r="M24" s="156"/>
      <c r="N24" s="156"/>
      <c r="O24" s="156"/>
    </row>
    <row r="25" spans="2:16" x14ac:dyDescent="0.2">
      <c r="B25" s="156"/>
      <c r="C25" s="356" t="s">
        <v>797</v>
      </c>
      <c r="D25" s="13">
        <v>771</v>
      </c>
      <c r="E25" s="13">
        <v>41</v>
      </c>
      <c r="G25" s="156"/>
      <c r="H25" s="156"/>
      <c r="I25" s="156"/>
      <c r="J25" s="156"/>
      <c r="K25" s="156"/>
      <c r="L25" s="156"/>
      <c r="M25" s="156"/>
      <c r="N25" s="156"/>
      <c r="O25" s="156"/>
    </row>
    <row r="26" spans="2:16" x14ac:dyDescent="0.2">
      <c r="B26" s="156"/>
      <c r="C26" s="356" t="s">
        <v>798</v>
      </c>
      <c r="D26" s="13">
        <v>1</v>
      </c>
      <c r="E26" s="13">
        <v>6</v>
      </c>
      <c r="G26" s="156"/>
      <c r="H26" s="156"/>
      <c r="I26" s="156"/>
      <c r="J26" s="156"/>
      <c r="K26" s="156"/>
      <c r="L26" s="156"/>
      <c r="M26" s="156"/>
      <c r="N26" s="156"/>
      <c r="O26" s="156"/>
    </row>
    <row r="27" spans="2:16" x14ac:dyDescent="0.2">
      <c r="B27" s="156"/>
      <c r="C27" s="357" t="s">
        <v>799</v>
      </c>
      <c r="D27" s="354">
        <v>1</v>
      </c>
      <c r="E27" s="13">
        <v>0</v>
      </c>
      <c r="G27" s="156"/>
      <c r="H27" s="156"/>
      <c r="I27" s="156"/>
      <c r="J27" s="156"/>
      <c r="K27" s="156"/>
      <c r="L27" s="156"/>
      <c r="M27" s="156"/>
    </row>
    <row r="28" spans="2:16" x14ac:dyDescent="0.2">
      <c r="B28" s="156"/>
      <c r="C28" s="357" t="s">
        <v>800</v>
      </c>
      <c r="D28" s="354">
        <v>1</v>
      </c>
      <c r="E28" s="13">
        <v>0</v>
      </c>
      <c r="G28" s="156"/>
      <c r="H28" s="156"/>
      <c r="I28" s="156"/>
      <c r="J28" s="156"/>
      <c r="K28" s="156"/>
      <c r="L28" s="156"/>
      <c r="M28" s="156"/>
    </row>
    <row r="29" spans="2:16" ht="16" thickBot="1" x14ac:dyDescent="0.25">
      <c r="C29" s="358" t="s">
        <v>801</v>
      </c>
      <c r="D29" s="355">
        <v>6</v>
      </c>
      <c r="E29" s="75">
        <v>0</v>
      </c>
    </row>
    <row r="30" spans="2:16" ht="16" thickBot="1" x14ac:dyDescent="0.25"/>
    <row r="31" spans="2:16" ht="16" thickBot="1" x14ac:dyDescent="0.25">
      <c r="C31" s="351" t="s">
        <v>808</v>
      </c>
      <c r="D31" s="352"/>
      <c r="E31" s="353"/>
    </row>
    <row r="32" spans="2:16" x14ac:dyDescent="0.2">
      <c r="C32" s="365" t="s">
        <v>808</v>
      </c>
      <c r="D32" s="365" t="s">
        <v>794</v>
      </c>
      <c r="E32" s="365" t="s">
        <v>795</v>
      </c>
    </row>
    <row r="33" spans="3:11" x14ac:dyDescent="0.2">
      <c r="C33" s="356" t="s">
        <v>803</v>
      </c>
      <c r="D33" s="13">
        <v>782</v>
      </c>
      <c r="E33" s="13">
        <v>786</v>
      </c>
    </row>
    <row r="34" spans="3:11" x14ac:dyDescent="0.2">
      <c r="C34" s="356" t="s">
        <v>804</v>
      </c>
      <c r="D34" s="13">
        <v>8</v>
      </c>
      <c r="E34" s="13">
        <v>2</v>
      </c>
    </row>
    <row r="35" spans="3:11" x14ac:dyDescent="0.2">
      <c r="C35" s="356" t="s">
        <v>805</v>
      </c>
      <c r="D35" s="13">
        <v>0</v>
      </c>
      <c r="E35" s="13">
        <v>1</v>
      </c>
    </row>
    <row r="36" spans="3:11" x14ac:dyDescent="0.2">
      <c r="C36" s="357" t="s">
        <v>806</v>
      </c>
      <c r="D36" s="13">
        <v>3</v>
      </c>
      <c r="E36" s="13">
        <v>5</v>
      </c>
    </row>
    <row r="37" spans="3:11" x14ac:dyDescent="0.2">
      <c r="C37" s="357" t="s">
        <v>807</v>
      </c>
      <c r="D37" s="13">
        <v>0</v>
      </c>
      <c r="E37" s="13">
        <v>3</v>
      </c>
    </row>
    <row r="38" spans="3:11" ht="16" thickBot="1" x14ac:dyDescent="0.25">
      <c r="C38" s="358" t="s">
        <v>801</v>
      </c>
      <c r="D38" s="75">
        <v>4</v>
      </c>
      <c r="E38" s="75">
        <v>0</v>
      </c>
    </row>
    <row r="39" spans="3:11" ht="16" thickBot="1" x14ac:dyDescent="0.25"/>
    <row r="40" spans="3:11" ht="16" thickBot="1" x14ac:dyDescent="0.25">
      <c r="C40" s="351" t="s">
        <v>809</v>
      </c>
      <c r="D40" s="352"/>
      <c r="E40" s="353"/>
    </row>
    <row r="41" spans="3:11" x14ac:dyDescent="0.2">
      <c r="C41" s="365" t="s">
        <v>814</v>
      </c>
      <c r="D41" s="365" t="s">
        <v>794</v>
      </c>
      <c r="E41" s="365" t="s">
        <v>795</v>
      </c>
    </row>
    <row r="42" spans="3:11" ht="16" x14ac:dyDescent="0.2">
      <c r="C42" s="362" t="s">
        <v>810</v>
      </c>
      <c r="D42" s="13">
        <v>192</v>
      </c>
      <c r="E42" s="13">
        <v>192</v>
      </c>
      <c r="K42" s="363"/>
    </row>
    <row r="43" spans="3:11" ht="16" x14ac:dyDescent="0.2">
      <c r="C43" s="362" t="s">
        <v>811</v>
      </c>
      <c r="D43" s="13">
        <v>250</v>
      </c>
      <c r="E43" s="13">
        <v>205</v>
      </c>
      <c r="K43" s="363"/>
    </row>
    <row r="44" spans="3:11" ht="16" x14ac:dyDescent="0.2">
      <c r="C44" s="362" t="s">
        <v>812</v>
      </c>
      <c r="D44" s="13">
        <v>188</v>
      </c>
      <c r="E44" s="13">
        <v>188</v>
      </c>
      <c r="K44" s="363"/>
    </row>
    <row r="45" spans="3:11" ht="17" thickBot="1" x14ac:dyDescent="0.25">
      <c r="C45" s="364" t="s">
        <v>813</v>
      </c>
      <c r="D45" s="75">
        <v>167</v>
      </c>
      <c r="E45" s="75">
        <v>167</v>
      </c>
      <c r="K45" s="363"/>
    </row>
    <row r="46" spans="3:11" ht="16" thickBot="1" x14ac:dyDescent="0.25"/>
    <row r="47" spans="3:11" ht="16" thickBot="1" x14ac:dyDescent="0.25">
      <c r="C47" s="366" t="s">
        <v>824</v>
      </c>
      <c r="D47" s="367"/>
      <c r="E47" s="368"/>
    </row>
    <row r="48" spans="3:11" ht="16" x14ac:dyDescent="0.2">
      <c r="C48" s="371" t="s">
        <v>816</v>
      </c>
      <c r="D48" s="365" t="s">
        <v>794</v>
      </c>
      <c r="E48" s="365" t="s">
        <v>795</v>
      </c>
    </row>
    <row r="49" spans="3:5" ht="16" x14ac:dyDescent="0.2">
      <c r="C49" s="369" t="s">
        <v>817</v>
      </c>
      <c r="D49" s="13">
        <v>532</v>
      </c>
      <c r="E49" s="13">
        <v>635</v>
      </c>
    </row>
    <row r="50" spans="3:5" ht="16" x14ac:dyDescent="0.2">
      <c r="C50" s="369" t="s">
        <v>818</v>
      </c>
      <c r="D50" s="13">
        <v>63</v>
      </c>
      <c r="E50" s="13">
        <v>50</v>
      </c>
    </row>
    <row r="51" spans="3:5" ht="16" x14ac:dyDescent="0.2">
      <c r="C51" s="369" t="s">
        <v>819</v>
      </c>
      <c r="D51" s="13">
        <v>175</v>
      </c>
      <c r="E51" s="13">
        <v>95</v>
      </c>
    </row>
    <row r="52" spans="3:5" ht="16" x14ac:dyDescent="0.2">
      <c r="C52" s="369" t="s">
        <v>820</v>
      </c>
      <c r="D52" s="13">
        <v>3</v>
      </c>
      <c r="E52" s="13">
        <v>4</v>
      </c>
    </row>
    <row r="53" spans="3:5" ht="16" x14ac:dyDescent="0.2">
      <c r="C53" s="369" t="s">
        <v>821</v>
      </c>
      <c r="D53" s="13">
        <v>3</v>
      </c>
      <c r="E53" s="13">
        <v>2</v>
      </c>
    </row>
    <row r="54" spans="3:5" ht="16" x14ac:dyDescent="0.2">
      <c r="C54" s="369" t="s">
        <v>822</v>
      </c>
      <c r="D54" s="13">
        <v>14</v>
      </c>
      <c r="E54" s="13">
        <v>3</v>
      </c>
    </row>
    <row r="55" spans="3:5" ht="16" x14ac:dyDescent="0.2">
      <c r="C55" s="369" t="s">
        <v>823</v>
      </c>
      <c r="D55" s="13">
        <v>1</v>
      </c>
      <c r="E55" s="13">
        <v>8</v>
      </c>
    </row>
    <row r="56" spans="3:5" ht="17" thickBot="1" x14ac:dyDescent="0.25">
      <c r="C56" s="370" t="s">
        <v>801</v>
      </c>
      <c r="D56" s="75">
        <v>6</v>
      </c>
      <c r="E56" s="75">
        <v>0</v>
      </c>
    </row>
  </sheetData>
  <mergeCells count="7">
    <mergeCell ref="C31:E31"/>
    <mergeCell ref="C40:E40"/>
    <mergeCell ref="C47:E47"/>
    <mergeCell ref="D6:H6"/>
    <mergeCell ref="I6:M6"/>
    <mergeCell ref="C5:M5"/>
    <mergeCell ref="C22:E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978D-A186-734A-8BC3-750569A1FA36}">
  <dimension ref="D1:N36"/>
  <sheetViews>
    <sheetView topLeftCell="B1" workbookViewId="0">
      <selection activeCell="Q28" sqref="Q28"/>
    </sheetView>
  </sheetViews>
  <sheetFormatPr baseColWidth="10" defaultRowHeight="15" x14ac:dyDescent="0.2"/>
  <cols>
    <col min="1" max="3" width="10.83203125" style="156"/>
    <col min="4" max="4" width="24.1640625" style="156" bestFit="1" customWidth="1"/>
    <col min="5" max="16384" width="10.83203125" style="156"/>
  </cols>
  <sheetData>
    <row r="1" spans="4:14" ht="16" thickBot="1" x14ac:dyDescent="0.25"/>
    <row r="2" spans="4:14" ht="16" thickBot="1" x14ac:dyDescent="0.25">
      <c r="D2" s="351" t="s">
        <v>790</v>
      </c>
      <c r="E2" s="352"/>
      <c r="F2" s="352"/>
      <c r="G2" s="352"/>
      <c r="H2" s="352"/>
      <c r="I2" s="352"/>
      <c r="J2" s="352"/>
      <c r="K2" s="352"/>
      <c r="L2" s="352"/>
      <c r="M2" s="352"/>
      <c r="N2" s="353"/>
    </row>
    <row r="3" spans="4:14" ht="16" x14ac:dyDescent="0.2">
      <c r="D3" s="372" t="s">
        <v>297</v>
      </c>
      <c r="E3" s="373" t="s">
        <v>785</v>
      </c>
      <c r="F3" s="374"/>
      <c r="G3" s="374"/>
      <c r="H3" s="374"/>
      <c r="I3" s="375"/>
      <c r="J3" s="373" t="s">
        <v>786</v>
      </c>
      <c r="K3" s="374"/>
      <c r="L3" s="374"/>
      <c r="M3" s="374"/>
      <c r="N3" s="375"/>
    </row>
    <row r="4" spans="4:14" ht="16" x14ac:dyDescent="0.2">
      <c r="D4" s="253"/>
      <c r="E4" s="253" t="s">
        <v>783</v>
      </c>
      <c r="F4" s="248" t="s">
        <v>304</v>
      </c>
      <c r="G4" s="248" t="s">
        <v>784</v>
      </c>
      <c r="H4" s="248" t="s">
        <v>307</v>
      </c>
      <c r="I4" s="254" t="s">
        <v>308</v>
      </c>
      <c r="J4" s="253" t="s">
        <v>783</v>
      </c>
      <c r="K4" s="248" t="s">
        <v>304</v>
      </c>
      <c r="L4" s="248" t="s">
        <v>784</v>
      </c>
      <c r="M4" s="248" t="s">
        <v>307</v>
      </c>
      <c r="N4" s="254" t="s">
        <v>308</v>
      </c>
    </row>
    <row r="5" spans="4:14" x14ac:dyDescent="0.2">
      <c r="D5" s="27" t="s">
        <v>19</v>
      </c>
      <c r="E5" s="253">
        <v>797</v>
      </c>
      <c r="F5" s="250">
        <v>0.60978670000000001</v>
      </c>
      <c r="G5" s="250">
        <v>1.1764239999999999</v>
      </c>
      <c r="H5" s="248">
        <v>0</v>
      </c>
      <c r="I5" s="254">
        <v>8</v>
      </c>
      <c r="J5" s="253">
        <v>797</v>
      </c>
      <c r="K5" s="250">
        <v>0.92722709999999997</v>
      </c>
      <c r="L5" s="250">
        <v>1.3439700000000001</v>
      </c>
      <c r="M5" s="248">
        <v>0</v>
      </c>
      <c r="N5" s="254">
        <v>11</v>
      </c>
    </row>
    <row r="6" spans="4:14" x14ac:dyDescent="0.2">
      <c r="D6" s="27" t="s">
        <v>20</v>
      </c>
      <c r="E6" s="253">
        <v>797</v>
      </c>
      <c r="F6" s="250">
        <v>0.30112919999999999</v>
      </c>
      <c r="G6" s="250">
        <v>0.88944749999999995</v>
      </c>
      <c r="H6" s="248">
        <v>0</v>
      </c>
      <c r="I6" s="254">
        <v>7</v>
      </c>
      <c r="J6" s="253">
        <v>797</v>
      </c>
      <c r="K6" s="250">
        <v>0.1342535</v>
      </c>
      <c r="L6" s="250">
        <v>0.66558890000000004</v>
      </c>
      <c r="M6" s="248">
        <v>0</v>
      </c>
      <c r="N6" s="254">
        <v>9</v>
      </c>
    </row>
    <row r="7" spans="4:14" x14ac:dyDescent="0.2">
      <c r="D7" s="27" t="s">
        <v>21</v>
      </c>
      <c r="E7" s="253">
        <v>797</v>
      </c>
      <c r="F7" s="250">
        <v>1.649937</v>
      </c>
      <c r="G7" s="250">
        <v>1.728178</v>
      </c>
      <c r="H7" s="248">
        <v>0</v>
      </c>
      <c r="I7" s="254">
        <v>10</v>
      </c>
      <c r="J7" s="253">
        <v>797</v>
      </c>
      <c r="K7" s="250">
        <v>1.427854</v>
      </c>
      <c r="L7" s="250">
        <v>1.672682</v>
      </c>
      <c r="M7" s="248">
        <v>0</v>
      </c>
      <c r="N7" s="254">
        <v>13</v>
      </c>
    </row>
    <row r="8" spans="4:14" x14ac:dyDescent="0.2">
      <c r="D8" s="261" t="s">
        <v>22</v>
      </c>
      <c r="E8" s="253">
        <v>797</v>
      </c>
      <c r="F8" s="250">
        <v>0.30238389999999998</v>
      </c>
      <c r="G8" s="250">
        <v>0.86684130000000004</v>
      </c>
      <c r="H8" s="248">
        <v>0</v>
      </c>
      <c r="I8" s="254">
        <v>8</v>
      </c>
      <c r="J8" s="253">
        <v>797</v>
      </c>
      <c r="K8" s="250">
        <v>0.6173149</v>
      </c>
      <c r="L8" s="250">
        <v>1.1464829999999999</v>
      </c>
      <c r="M8" s="248">
        <v>0</v>
      </c>
      <c r="N8" s="254">
        <v>11</v>
      </c>
    </row>
    <row r="9" spans="4:14" x14ac:dyDescent="0.2">
      <c r="D9" s="261" t="s">
        <v>23</v>
      </c>
      <c r="E9" s="253">
        <v>797</v>
      </c>
      <c r="F9" s="250">
        <v>0.1781681</v>
      </c>
      <c r="G9" s="250">
        <v>0.69699650000000002</v>
      </c>
      <c r="H9" s="248">
        <v>0</v>
      </c>
      <c r="I9" s="254">
        <v>7</v>
      </c>
      <c r="J9" s="253">
        <v>797</v>
      </c>
      <c r="K9" s="250">
        <v>6.7754099999999998E-2</v>
      </c>
      <c r="L9" s="250">
        <v>0.5066657</v>
      </c>
      <c r="M9" s="248">
        <v>0</v>
      </c>
      <c r="N9" s="254">
        <v>9</v>
      </c>
    </row>
    <row r="10" spans="4:14" x14ac:dyDescent="0.2">
      <c r="D10" s="27" t="s">
        <v>24</v>
      </c>
      <c r="E10" s="253">
        <v>797</v>
      </c>
      <c r="F10" s="250">
        <v>0.89335010000000004</v>
      </c>
      <c r="G10" s="250">
        <v>1.469085</v>
      </c>
      <c r="H10" s="248">
        <v>0</v>
      </c>
      <c r="I10" s="254">
        <v>9</v>
      </c>
      <c r="J10" s="253">
        <v>797</v>
      </c>
      <c r="K10" s="250">
        <v>0.79046419999999995</v>
      </c>
      <c r="L10" s="250">
        <v>1.399932</v>
      </c>
      <c r="M10" s="248">
        <v>0</v>
      </c>
      <c r="N10" s="254">
        <v>13</v>
      </c>
    </row>
    <row r="11" spans="4:14" x14ac:dyDescent="0.2">
      <c r="D11" s="261" t="s">
        <v>25</v>
      </c>
      <c r="E11" s="253">
        <v>797</v>
      </c>
      <c r="F11" s="250">
        <v>0.30740279999999998</v>
      </c>
      <c r="G11" s="250">
        <v>0.88941729999999997</v>
      </c>
      <c r="H11" s="248">
        <v>0</v>
      </c>
      <c r="I11" s="254">
        <v>7</v>
      </c>
      <c r="J11" s="253">
        <v>797</v>
      </c>
      <c r="K11" s="250">
        <v>0.30991220000000003</v>
      </c>
      <c r="L11" s="250">
        <v>0.86126270000000005</v>
      </c>
      <c r="M11" s="248">
        <v>0</v>
      </c>
      <c r="N11" s="254">
        <v>8</v>
      </c>
    </row>
    <row r="12" spans="4:14" x14ac:dyDescent="0.2">
      <c r="D12" s="27" t="s">
        <v>26</v>
      </c>
      <c r="E12" s="253">
        <v>797</v>
      </c>
      <c r="F12" s="250">
        <v>0.1229611</v>
      </c>
      <c r="G12" s="250">
        <v>0.58878739999999996</v>
      </c>
      <c r="H12" s="248">
        <v>0</v>
      </c>
      <c r="I12" s="254">
        <v>7</v>
      </c>
      <c r="J12" s="253">
        <v>797</v>
      </c>
      <c r="K12" s="250">
        <v>6.64994E-2</v>
      </c>
      <c r="L12" s="250">
        <v>0.43333969999999999</v>
      </c>
      <c r="M12" s="248">
        <v>0</v>
      </c>
      <c r="N12" s="254">
        <v>6</v>
      </c>
    </row>
    <row r="13" spans="4:14" x14ac:dyDescent="0.2">
      <c r="D13" s="27" t="s">
        <v>27</v>
      </c>
      <c r="E13" s="253">
        <v>797</v>
      </c>
      <c r="F13" s="250">
        <v>0.75658720000000002</v>
      </c>
      <c r="G13" s="250">
        <v>1.419878</v>
      </c>
      <c r="H13" s="248">
        <v>0</v>
      </c>
      <c r="I13" s="254">
        <v>10</v>
      </c>
      <c r="J13" s="253">
        <v>797</v>
      </c>
      <c r="K13" s="250">
        <v>0.63739020000000002</v>
      </c>
      <c r="L13" s="250">
        <v>1.251233</v>
      </c>
      <c r="M13" s="248">
        <v>0</v>
      </c>
      <c r="N13" s="254">
        <v>8</v>
      </c>
    </row>
    <row r="14" spans="4:14" x14ac:dyDescent="0.2">
      <c r="D14" s="27" t="s">
        <v>28</v>
      </c>
      <c r="E14" s="253">
        <v>797</v>
      </c>
      <c r="F14" s="250">
        <v>1.373902</v>
      </c>
      <c r="G14" s="250">
        <v>1.68893</v>
      </c>
      <c r="H14" s="248">
        <v>0</v>
      </c>
      <c r="I14" s="254">
        <v>10</v>
      </c>
      <c r="J14" s="253">
        <v>797</v>
      </c>
      <c r="K14" s="250">
        <v>1.475533</v>
      </c>
      <c r="L14" s="250">
        <v>1.698644</v>
      </c>
      <c r="M14" s="248">
        <v>0</v>
      </c>
      <c r="N14" s="254">
        <v>18</v>
      </c>
    </row>
    <row r="15" spans="4:14" x14ac:dyDescent="0.2">
      <c r="D15" s="27" t="s">
        <v>29</v>
      </c>
      <c r="E15" s="253">
        <v>797</v>
      </c>
      <c r="F15" s="250">
        <v>1.1869510000000001</v>
      </c>
      <c r="G15" s="250">
        <v>1.5926750000000001</v>
      </c>
      <c r="H15" s="248">
        <v>0</v>
      </c>
      <c r="I15" s="254">
        <v>10</v>
      </c>
      <c r="J15" s="253">
        <v>797</v>
      </c>
      <c r="K15" s="250">
        <v>1.0138020000000001</v>
      </c>
      <c r="L15" s="250">
        <v>1.435746</v>
      </c>
      <c r="M15" s="248">
        <v>0</v>
      </c>
      <c r="N15" s="254">
        <v>8</v>
      </c>
    </row>
    <row r="16" spans="4:14" x14ac:dyDescent="0.2">
      <c r="D16" s="27" t="s">
        <v>30</v>
      </c>
      <c r="E16" s="253">
        <v>797</v>
      </c>
      <c r="F16" s="250">
        <v>2.5846930000000001</v>
      </c>
      <c r="G16" s="250">
        <v>1.5308930000000001</v>
      </c>
      <c r="H16" s="248">
        <v>1</v>
      </c>
      <c r="I16" s="254">
        <v>10</v>
      </c>
      <c r="J16" s="253">
        <v>797</v>
      </c>
      <c r="K16" s="250">
        <v>2.5119199999999999</v>
      </c>
      <c r="L16" s="250">
        <v>1.5494920000000001</v>
      </c>
      <c r="M16" s="248">
        <v>1</v>
      </c>
      <c r="N16" s="254">
        <v>18</v>
      </c>
    </row>
    <row r="17" spans="4:14" x14ac:dyDescent="0.2">
      <c r="D17" s="27" t="s">
        <v>31</v>
      </c>
      <c r="E17" s="253">
        <v>797</v>
      </c>
      <c r="F17" s="250">
        <v>4375.7849999999999</v>
      </c>
      <c r="G17" s="250">
        <v>14755.76</v>
      </c>
      <c r="H17" s="248">
        <v>0</v>
      </c>
      <c r="I17" s="254">
        <v>213515</v>
      </c>
      <c r="J17" s="253">
        <v>796</v>
      </c>
      <c r="K17" s="250">
        <v>9333.0049999999992</v>
      </c>
      <c r="L17" s="250">
        <v>27238.59</v>
      </c>
      <c r="M17" s="248">
        <v>0</v>
      </c>
      <c r="N17" s="254">
        <v>468301.8</v>
      </c>
    </row>
    <row r="18" spans="4:14" x14ac:dyDescent="0.2">
      <c r="D18" s="27" t="s">
        <v>32</v>
      </c>
      <c r="E18" s="253">
        <v>797</v>
      </c>
      <c r="F18" s="250">
        <v>3133.259</v>
      </c>
      <c r="G18" s="250">
        <v>9487.1029999999992</v>
      </c>
      <c r="H18" s="248">
        <v>0</v>
      </c>
      <c r="I18" s="254">
        <v>125235</v>
      </c>
      <c r="J18" s="253">
        <v>796</v>
      </c>
      <c r="K18" s="250">
        <v>3425.56</v>
      </c>
      <c r="L18" s="250">
        <v>7853.5410000000002</v>
      </c>
      <c r="M18" s="248">
        <v>0</v>
      </c>
      <c r="N18" s="254">
        <v>87599</v>
      </c>
    </row>
    <row r="19" spans="4:14" x14ac:dyDescent="0.2">
      <c r="D19" s="27" t="s">
        <v>33</v>
      </c>
      <c r="E19" s="253">
        <v>797</v>
      </c>
      <c r="F19" s="250">
        <v>1052.028</v>
      </c>
      <c r="G19" s="250">
        <v>8449.9140000000007</v>
      </c>
      <c r="H19" s="248">
        <v>0</v>
      </c>
      <c r="I19" s="254">
        <v>213515</v>
      </c>
      <c r="J19" s="253">
        <v>796</v>
      </c>
      <c r="K19" s="250">
        <v>4747.1840000000002</v>
      </c>
      <c r="L19" s="250">
        <v>22412.09</v>
      </c>
      <c r="M19" s="248">
        <v>0</v>
      </c>
      <c r="N19" s="254">
        <v>468301.8</v>
      </c>
    </row>
    <row r="20" spans="4:14" x14ac:dyDescent="0.2">
      <c r="D20" s="27" t="s">
        <v>34</v>
      </c>
      <c r="E20" s="253">
        <v>797</v>
      </c>
      <c r="F20" s="250">
        <v>460.39299999999997</v>
      </c>
      <c r="G20" s="250">
        <v>2488.75</v>
      </c>
      <c r="H20" s="248">
        <v>0</v>
      </c>
      <c r="I20" s="254">
        <v>38085</v>
      </c>
      <c r="J20" s="253">
        <v>796</v>
      </c>
      <c r="K20" s="250">
        <v>222.47900000000001</v>
      </c>
      <c r="L20" s="250">
        <v>2012.816</v>
      </c>
      <c r="M20" s="248">
        <v>0</v>
      </c>
      <c r="N20" s="254">
        <v>38085</v>
      </c>
    </row>
    <row r="21" spans="4:14" x14ac:dyDescent="0.2">
      <c r="D21" s="27" t="s">
        <v>35</v>
      </c>
      <c r="E21" s="253">
        <v>797</v>
      </c>
      <c r="F21" s="250">
        <v>2854.4059999999999</v>
      </c>
      <c r="G21" s="250">
        <v>12139.43</v>
      </c>
      <c r="H21" s="248">
        <v>0</v>
      </c>
      <c r="I21" s="254">
        <v>190584</v>
      </c>
      <c r="J21" s="253">
        <v>796</v>
      </c>
      <c r="K21" s="250">
        <v>4340.5420000000004</v>
      </c>
      <c r="L21" s="250">
        <v>15624.89</v>
      </c>
      <c r="M21" s="248">
        <v>0</v>
      </c>
      <c r="N21" s="254">
        <v>279703.5</v>
      </c>
    </row>
    <row r="22" spans="4:14" x14ac:dyDescent="0.2">
      <c r="D22" s="27" t="s">
        <v>36</v>
      </c>
      <c r="E22" s="253">
        <v>797</v>
      </c>
      <c r="F22" s="250">
        <v>928.38530000000003</v>
      </c>
      <c r="G22" s="250">
        <v>6002.6940000000004</v>
      </c>
      <c r="H22" s="248">
        <v>0</v>
      </c>
      <c r="I22" s="254">
        <v>125235</v>
      </c>
      <c r="J22" s="253">
        <v>796</v>
      </c>
      <c r="K22" s="250">
        <v>1409.3019999999999</v>
      </c>
      <c r="L22" s="250">
        <v>6075.7169999999996</v>
      </c>
      <c r="M22" s="248">
        <v>0</v>
      </c>
      <c r="N22" s="254">
        <v>87599</v>
      </c>
    </row>
    <row r="23" spans="4:14" x14ac:dyDescent="0.2">
      <c r="D23" s="27" t="s">
        <v>37</v>
      </c>
      <c r="E23" s="253">
        <v>797</v>
      </c>
      <c r="F23" s="250">
        <v>334.3673</v>
      </c>
      <c r="G23" s="250">
        <v>3241.9949999999999</v>
      </c>
      <c r="H23" s="248">
        <v>0</v>
      </c>
      <c r="I23" s="254">
        <v>76866</v>
      </c>
      <c r="J23" s="253">
        <v>796</v>
      </c>
      <c r="K23" s="250">
        <v>118.3163</v>
      </c>
      <c r="L23" s="250">
        <v>980.28240000000005</v>
      </c>
      <c r="M23" s="248">
        <v>0</v>
      </c>
      <c r="N23" s="254">
        <v>18201.64</v>
      </c>
    </row>
    <row r="24" spans="4:14" x14ac:dyDescent="0.2">
      <c r="D24" s="27" t="s">
        <v>38</v>
      </c>
      <c r="E24" s="253">
        <v>797</v>
      </c>
      <c r="F24" s="250">
        <v>1790.2249999999999</v>
      </c>
      <c r="G24" s="250">
        <v>6595.5259999999998</v>
      </c>
      <c r="H24" s="248">
        <v>0</v>
      </c>
      <c r="I24" s="254">
        <v>103815.5</v>
      </c>
      <c r="J24" s="253">
        <v>796</v>
      </c>
      <c r="K24" s="250">
        <v>1854.1369999999999</v>
      </c>
      <c r="L24" s="250">
        <v>5320.4949999999999</v>
      </c>
      <c r="M24" s="248">
        <v>0</v>
      </c>
      <c r="N24" s="254">
        <v>74014.399999999994</v>
      </c>
    </row>
    <row r="25" spans="4:14" x14ac:dyDescent="0.2">
      <c r="D25" s="27" t="s">
        <v>39</v>
      </c>
      <c r="E25" s="253">
        <v>797</v>
      </c>
      <c r="F25" s="250">
        <v>7509.0439999999999</v>
      </c>
      <c r="G25" s="250">
        <v>16801.55</v>
      </c>
      <c r="H25" s="248">
        <v>0</v>
      </c>
      <c r="I25" s="254">
        <v>213515</v>
      </c>
      <c r="J25" s="253">
        <v>796</v>
      </c>
      <c r="K25" s="250">
        <v>12758.56</v>
      </c>
      <c r="L25" s="250">
        <v>27395.84</v>
      </c>
      <c r="M25" s="248">
        <v>0</v>
      </c>
      <c r="N25" s="254">
        <v>468301.8</v>
      </c>
    </row>
    <row r="26" spans="4:14" x14ac:dyDescent="0.2">
      <c r="D26" s="27" t="s">
        <v>40</v>
      </c>
      <c r="E26" s="253">
        <v>796</v>
      </c>
      <c r="F26" s="250">
        <v>3405.6970000000001</v>
      </c>
      <c r="G26" s="250">
        <v>8006.1549999999997</v>
      </c>
      <c r="H26" s="248">
        <v>0</v>
      </c>
      <c r="I26" s="254">
        <v>106757.5</v>
      </c>
      <c r="J26" s="253">
        <v>795</v>
      </c>
      <c r="K26" s="250">
        <v>6060.2669999999998</v>
      </c>
      <c r="L26" s="250">
        <v>13309.65</v>
      </c>
      <c r="M26" s="248">
        <v>39.573999999999998</v>
      </c>
      <c r="N26" s="254">
        <v>234150.9</v>
      </c>
    </row>
    <row r="27" spans="4:14" x14ac:dyDescent="0.2">
      <c r="D27" s="27" t="s">
        <v>775</v>
      </c>
      <c r="E27" s="253">
        <v>797</v>
      </c>
      <c r="F27" s="156">
        <v>0.53680799999999995</v>
      </c>
      <c r="G27" s="248">
        <v>0.31316329999999998</v>
      </c>
      <c r="H27" s="248">
        <v>0</v>
      </c>
      <c r="I27" s="254">
        <v>1.375</v>
      </c>
      <c r="J27" s="253">
        <v>797</v>
      </c>
      <c r="K27" s="248">
        <v>0.52177309999999999</v>
      </c>
      <c r="L27" s="248">
        <v>0.31124449999999998</v>
      </c>
      <c r="M27" s="248">
        <v>0</v>
      </c>
      <c r="N27" s="254">
        <v>1</v>
      </c>
    </row>
    <row r="28" spans="4:14" ht="16" thickBot="1" x14ac:dyDescent="0.25">
      <c r="D28" s="186" t="s">
        <v>776</v>
      </c>
      <c r="E28" s="257">
        <v>797</v>
      </c>
      <c r="F28" s="259">
        <v>0.4506211</v>
      </c>
      <c r="G28" s="259">
        <v>0.37913049999999998</v>
      </c>
      <c r="H28" s="259">
        <v>0</v>
      </c>
      <c r="I28" s="376">
        <v>5</v>
      </c>
      <c r="J28" s="257">
        <v>797</v>
      </c>
      <c r="K28" s="259">
        <v>0.41112140000000003</v>
      </c>
      <c r="L28" s="259">
        <v>0.3373797</v>
      </c>
      <c r="M28" s="259">
        <v>0</v>
      </c>
      <c r="N28" s="263">
        <v>1</v>
      </c>
    </row>
    <row r="29" spans="4:14" x14ac:dyDescent="0.2">
      <c r="E29" s="378" t="s">
        <v>825</v>
      </c>
      <c r="F29" s="378"/>
      <c r="G29" s="378"/>
      <c r="H29" s="378"/>
      <c r="I29" s="378"/>
      <c r="J29" s="378"/>
      <c r="K29" s="378"/>
      <c r="L29" s="378"/>
      <c r="M29" s="378"/>
      <c r="N29" s="378"/>
    </row>
    <row r="30" spans="4:14" x14ac:dyDescent="0.2">
      <c r="E30" s="377" t="s">
        <v>826</v>
      </c>
      <c r="F30" s="377"/>
      <c r="G30" s="377"/>
      <c r="H30" s="377"/>
      <c r="I30" s="377"/>
      <c r="J30" s="377"/>
      <c r="K30" s="377"/>
      <c r="L30" s="377"/>
      <c r="M30" s="377"/>
      <c r="N30" s="377"/>
    </row>
    <row r="35" spans="5:5" x14ac:dyDescent="0.2">
      <c r="E35" s="248"/>
    </row>
    <row r="36" spans="5:5" x14ac:dyDescent="0.2">
      <c r="E36" s="248"/>
    </row>
  </sheetData>
  <mergeCells count="5">
    <mergeCell ref="E3:I3"/>
    <mergeCell ref="D2:N2"/>
    <mergeCell ref="J3:N3"/>
    <mergeCell ref="E29:N29"/>
    <mergeCell ref="E30:N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2F41-ECC1-1F46-9F90-BB008CC27B0F}">
  <dimension ref="A3:O25"/>
  <sheetViews>
    <sheetView workbookViewId="0">
      <selection activeCell="D4" sqref="D4:N5"/>
    </sheetView>
  </sheetViews>
  <sheetFormatPr baseColWidth="10" defaultRowHeight="15" x14ac:dyDescent="0.2"/>
  <cols>
    <col min="4" max="4" width="22.1640625" bestFit="1" customWidth="1"/>
  </cols>
  <sheetData>
    <row r="3" spans="1:15" ht="16" thickBot="1" x14ac:dyDescent="0.25"/>
    <row r="4" spans="1:15" ht="16" thickBot="1" x14ac:dyDescent="0.25">
      <c r="C4" s="156"/>
      <c r="D4" s="342" t="s">
        <v>792</v>
      </c>
      <c r="E4" s="343"/>
      <c r="F4" s="343"/>
      <c r="G4" s="343"/>
      <c r="H4" s="343"/>
      <c r="I4" s="343"/>
      <c r="J4" s="343"/>
      <c r="K4" s="343"/>
      <c r="L4" s="343"/>
      <c r="M4" s="343"/>
      <c r="N4" s="344"/>
      <c r="O4" s="156"/>
    </row>
    <row r="5" spans="1:15" x14ac:dyDescent="0.2">
      <c r="C5" s="156"/>
      <c r="D5" s="262"/>
      <c r="E5" s="345" t="s">
        <v>785</v>
      </c>
      <c r="F5" s="346"/>
      <c r="G5" s="346"/>
      <c r="H5" s="346"/>
      <c r="I5" s="347"/>
      <c r="J5" s="345" t="s">
        <v>786</v>
      </c>
      <c r="K5" s="346"/>
      <c r="L5" s="346"/>
      <c r="M5" s="346"/>
      <c r="N5" s="347"/>
      <c r="O5" s="156"/>
    </row>
    <row r="6" spans="1:15" ht="16" x14ac:dyDescent="0.2">
      <c r="C6" s="156"/>
      <c r="D6" s="253" t="s">
        <v>297</v>
      </c>
      <c r="E6" s="253" t="s">
        <v>783</v>
      </c>
      <c r="F6" s="248" t="s">
        <v>304</v>
      </c>
      <c r="G6" s="248" t="s">
        <v>784</v>
      </c>
      <c r="H6" s="248" t="s">
        <v>307</v>
      </c>
      <c r="I6" s="254" t="s">
        <v>308</v>
      </c>
      <c r="J6" s="253" t="s">
        <v>783</v>
      </c>
      <c r="K6" s="248" t="s">
        <v>304</v>
      </c>
      <c r="L6" s="248" t="s">
        <v>784</v>
      </c>
      <c r="M6" s="248" t="s">
        <v>307</v>
      </c>
      <c r="N6" s="254" t="s">
        <v>308</v>
      </c>
      <c r="O6" s="156"/>
    </row>
    <row r="7" spans="1:15" x14ac:dyDescent="0.2">
      <c r="C7" s="156"/>
      <c r="D7" s="27" t="s">
        <v>49</v>
      </c>
      <c r="E7" s="253">
        <v>796</v>
      </c>
      <c r="F7" s="250">
        <v>0.29522609999999999</v>
      </c>
      <c r="G7" s="250">
        <v>0.45643109999999998</v>
      </c>
      <c r="H7" s="248">
        <v>0</v>
      </c>
      <c r="I7" s="254">
        <v>1</v>
      </c>
      <c r="J7" s="253">
        <v>793</v>
      </c>
      <c r="K7" s="250">
        <v>0.26355610000000002</v>
      </c>
      <c r="L7" s="250">
        <v>0.44083939999999999</v>
      </c>
      <c r="M7" s="248">
        <v>0</v>
      </c>
      <c r="N7" s="254">
        <v>1</v>
      </c>
      <c r="O7" s="156"/>
    </row>
    <row r="8" spans="1:15" x14ac:dyDescent="0.2">
      <c r="C8" s="156"/>
      <c r="D8" s="27" t="s">
        <v>50</v>
      </c>
      <c r="E8" s="253">
        <v>797</v>
      </c>
      <c r="F8" s="250">
        <v>9.1593499999999994E-2</v>
      </c>
      <c r="G8" s="250">
        <v>0.28863240000000001</v>
      </c>
      <c r="H8" s="248">
        <v>0</v>
      </c>
      <c r="I8" s="254">
        <v>1</v>
      </c>
      <c r="J8" s="253">
        <v>797</v>
      </c>
      <c r="K8" s="250">
        <v>6.9008799999999995E-2</v>
      </c>
      <c r="L8" s="250">
        <v>0.25362820000000003</v>
      </c>
      <c r="M8" s="248">
        <v>0</v>
      </c>
      <c r="N8" s="254">
        <v>1</v>
      </c>
      <c r="O8" s="156"/>
    </row>
    <row r="9" spans="1:15" x14ac:dyDescent="0.2">
      <c r="C9" s="156"/>
      <c r="D9" s="27" t="s">
        <v>51</v>
      </c>
      <c r="E9" s="253">
        <v>797</v>
      </c>
      <c r="F9" s="250">
        <v>3.1367600000000002E-2</v>
      </c>
      <c r="G9" s="250">
        <v>0.17441870000000001</v>
      </c>
      <c r="H9" s="248">
        <v>0</v>
      </c>
      <c r="I9" s="254">
        <v>1</v>
      </c>
      <c r="J9" s="253">
        <v>797</v>
      </c>
      <c r="K9" s="250">
        <v>1.88206E-2</v>
      </c>
      <c r="L9" s="250">
        <v>0.13597629999999999</v>
      </c>
      <c r="M9" s="248">
        <v>0</v>
      </c>
      <c r="N9" s="254">
        <v>1</v>
      </c>
      <c r="O9" s="156"/>
    </row>
    <row r="10" spans="1:15" x14ac:dyDescent="0.2">
      <c r="C10" s="156"/>
      <c r="D10" s="27" t="s">
        <v>52</v>
      </c>
      <c r="E10" s="253">
        <v>797</v>
      </c>
      <c r="F10" s="250">
        <v>0.17189460000000001</v>
      </c>
      <c r="G10" s="250">
        <v>0.37752570000000002</v>
      </c>
      <c r="H10" s="248">
        <v>0</v>
      </c>
      <c r="I10" s="254">
        <v>1</v>
      </c>
      <c r="J10" s="253">
        <v>797</v>
      </c>
      <c r="K10" s="250">
        <v>0.17063990000000001</v>
      </c>
      <c r="L10" s="250">
        <v>0.37643019999999999</v>
      </c>
      <c r="M10" s="248">
        <v>0</v>
      </c>
      <c r="N10" s="254">
        <v>1</v>
      </c>
      <c r="O10" s="156"/>
    </row>
    <row r="11" spans="1:15" x14ac:dyDescent="0.2">
      <c r="A11" s="156"/>
      <c r="B11" s="156"/>
      <c r="C11" s="156"/>
      <c r="D11" s="27" t="s">
        <v>53</v>
      </c>
      <c r="E11" s="253">
        <v>797</v>
      </c>
      <c r="F11" s="250">
        <v>4.0150600000000002E-2</v>
      </c>
      <c r="G11" s="250">
        <v>0.19643550000000001</v>
      </c>
      <c r="H11" s="248">
        <v>0</v>
      </c>
      <c r="I11" s="254">
        <v>1</v>
      </c>
      <c r="J11" s="253">
        <v>797</v>
      </c>
      <c r="K11" s="250">
        <v>0.1091593</v>
      </c>
      <c r="L11" s="250">
        <v>0.3120349</v>
      </c>
      <c r="M11" s="248">
        <v>0</v>
      </c>
      <c r="N11" s="254">
        <v>1</v>
      </c>
      <c r="O11" s="156"/>
    </row>
    <row r="12" spans="1:15" x14ac:dyDescent="0.2">
      <c r="A12" s="156"/>
      <c r="B12" s="156"/>
      <c r="C12" s="156"/>
      <c r="D12" s="27" t="s">
        <v>54</v>
      </c>
      <c r="E12" s="253">
        <v>797</v>
      </c>
      <c r="F12" s="250">
        <v>3.76412E-2</v>
      </c>
      <c r="G12" s="250">
        <v>0.19044630000000001</v>
      </c>
      <c r="H12" s="248">
        <v>0</v>
      </c>
      <c r="I12" s="254">
        <v>1</v>
      </c>
      <c r="J12" s="253">
        <v>797</v>
      </c>
      <c r="K12" s="250">
        <v>2.1329999999999998E-2</v>
      </c>
      <c r="L12" s="250">
        <v>0.1445726</v>
      </c>
      <c r="M12" s="248">
        <v>0</v>
      </c>
      <c r="N12" s="254">
        <v>1</v>
      </c>
      <c r="O12" s="156"/>
    </row>
    <row r="13" spans="1:15" x14ac:dyDescent="0.2">
      <c r="A13" s="156"/>
      <c r="B13" s="156"/>
      <c r="C13" s="156"/>
      <c r="D13" s="27" t="s">
        <v>55</v>
      </c>
      <c r="E13" s="253">
        <v>797</v>
      </c>
      <c r="F13" s="250">
        <v>0.30363859999999998</v>
      </c>
      <c r="G13" s="250">
        <v>0.4601172</v>
      </c>
      <c r="H13" s="248">
        <v>0</v>
      </c>
      <c r="I13" s="254">
        <v>1</v>
      </c>
      <c r="J13" s="253">
        <v>797</v>
      </c>
      <c r="K13" s="250">
        <v>0.31367630000000002</v>
      </c>
      <c r="L13" s="250">
        <v>0.46427790000000002</v>
      </c>
      <c r="M13" s="248">
        <v>0</v>
      </c>
      <c r="N13" s="254">
        <v>1</v>
      </c>
      <c r="O13" s="156"/>
    </row>
    <row r="14" spans="1:15" x14ac:dyDescent="0.2">
      <c r="A14" s="156"/>
      <c r="B14" s="156"/>
      <c r="C14" s="156"/>
      <c r="D14" s="27" t="s">
        <v>56</v>
      </c>
      <c r="E14" s="253">
        <v>797</v>
      </c>
      <c r="F14" s="250">
        <v>0.3814304</v>
      </c>
      <c r="G14" s="250">
        <v>0.4860428</v>
      </c>
      <c r="H14" s="248">
        <v>0</v>
      </c>
      <c r="I14" s="254">
        <v>1</v>
      </c>
      <c r="J14" s="253">
        <v>797</v>
      </c>
      <c r="K14" s="250">
        <v>0.44416559999999999</v>
      </c>
      <c r="L14" s="250">
        <v>0.49718479999999998</v>
      </c>
      <c r="M14" s="248">
        <v>0</v>
      </c>
      <c r="N14" s="254">
        <v>1</v>
      </c>
      <c r="O14" s="156"/>
    </row>
    <row r="15" spans="1:15" x14ac:dyDescent="0.2">
      <c r="A15" s="156"/>
      <c r="B15" s="156"/>
      <c r="C15" s="156"/>
      <c r="D15" s="27" t="s">
        <v>57</v>
      </c>
      <c r="E15" s="253">
        <v>796</v>
      </c>
      <c r="F15" s="250">
        <v>0.4334171</v>
      </c>
      <c r="G15" s="250">
        <v>0.49585849999999998</v>
      </c>
      <c r="H15" s="248">
        <v>0</v>
      </c>
      <c r="I15" s="254">
        <v>1</v>
      </c>
      <c r="J15" s="253">
        <v>793</v>
      </c>
      <c r="K15" s="250">
        <v>0.34426230000000002</v>
      </c>
      <c r="L15" s="250">
        <v>0.47542699999999999</v>
      </c>
      <c r="M15" s="248">
        <v>0</v>
      </c>
      <c r="N15" s="254">
        <v>1</v>
      </c>
      <c r="O15" s="156"/>
    </row>
    <row r="16" spans="1:15" x14ac:dyDescent="0.2">
      <c r="A16" s="156"/>
      <c r="B16" s="156"/>
      <c r="C16" s="156"/>
      <c r="D16" s="27" t="s">
        <v>58</v>
      </c>
      <c r="E16" s="253">
        <v>797</v>
      </c>
      <c r="F16" s="250">
        <v>4.0150600000000002E-2</v>
      </c>
      <c r="G16" s="250">
        <v>0.19643550000000001</v>
      </c>
      <c r="H16" s="248">
        <v>0</v>
      </c>
      <c r="I16" s="254">
        <v>1</v>
      </c>
      <c r="J16" s="253">
        <v>797</v>
      </c>
      <c r="K16" s="250">
        <v>4.2659999999999997E-2</v>
      </c>
      <c r="L16" s="250">
        <v>0.20221620000000001</v>
      </c>
      <c r="M16" s="248">
        <v>0</v>
      </c>
      <c r="N16" s="254">
        <v>1</v>
      </c>
      <c r="O16" s="156"/>
    </row>
    <row r="17" spans="1:15" x14ac:dyDescent="0.2">
      <c r="A17" s="156"/>
      <c r="B17" s="156"/>
      <c r="C17" s="156"/>
      <c r="D17" s="27" t="s">
        <v>59</v>
      </c>
      <c r="E17" s="253">
        <v>797</v>
      </c>
      <c r="F17" s="250">
        <v>7.2772900000000001E-2</v>
      </c>
      <c r="G17" s="250">
        <v>0.2599265</v>
      </c>
      <c r="H17" s="248">
        <v>0</v>
      </c>
      <c r="I17" s="254">
        <v>1</v>
      </c>
      <c r="J17" s="253">
        <v>797</v>
      </c>
      <c r="K17" s="250">
        <v>3.26223E-2</v>
      </c>
      <c r="L17" s="250">
        <v>0.17775759999999999</v>
      </c>
      <c r="M17" s="248">
        <v>0</v>
      </c>
      <c r="N17" s="254">
        <v>1</v>
      </c>
      <c r="O17" s="156"/>
    </row>
    <row r="18" spans="1:15" x14ac:dyDescent="0.2">
      <c r="A18" s="156"/>
      <c r="B18" s="156"/>
      <c r="C18" s="156"/>
      <c r="D18" s="27" t="s">
        <v>60</v>
      </c>
      <c r="E18" s="253">
        <v>797</v>
      </c>
      <c r="F18" s="250">
        <v>0.31493100000000002</v>
      </c>
      <c r="G18" s="250">
        <v>0.46478009999999997</v>
      </c>
      <c r="H18" s="248">
        <v>0</v>
      </c>
      <c r="I18" s="254">
        <v>1</v>
      </c>
      <c r="J18" s="253">
        <v>797</v>
      </c>
      <c r="K18" s="250">
        <v>0.2647428</v>
      </c>
      <c r="L18" s="250">
        <v>0.44147320000000001</v>
      </c>
      <c r="M18" s="248">
        <v>0</v>
      </c>
      <c r="N18" s="254">
        <v>1</v>
      </c>
      <c r="O18" s="156"/>
    </row>
    <row r="19" spans="1:15" x14ac:dyDescent="0.2">
      <c r="A19" s="156"/>
      <c r="B19" s="156"/>
      <c r="C19" s="156"/>
      <c r="D19" s="27" t="s">
        <v>61</v>
      </c>
      <c r="E19" s="253">
        <v>797</v>
      </c>
      <c r="F19" s="250">
        <v>0.28983690000000001</v>
      </c>
      <c r="G19" s="250">
        <v>0.45397140000000002</v>
      </c>
      <c r="H19" s="248">
        <v>0</v>
      </c>
      <c r="I19" s="254">
        <v>1</v>
      </c>
      <c r="J19" s="253">
        <v>797</v>
      </c>
      <c r="K19" s="250">
        <v>0.43663740000000001</v>
      </c>
      <c r="L19" s="250">
        <v>0.49628040000000001</v>
      </c>
      <c r="M19" s="248">
        <v>0</v>
      </c>
      <c r="N19" s="254">
        <v>1</v>
      </c>
      <c r="O19" s="156"/>
    </row>
    <row r="20" spans="1:15" x14ac:dyDescent="0.2">
      <c r="A20" s="156"/>
      <c r="B20" s="156"/>
      <c r="C20" s="156"/>
      <c r="D20" s="27" t="s">
        <v>62</v>
      </c>
      <c r="E20" s="253">
        <v>797</v>
      </c>
      <c r="F20" s="250">
        <v>0.119197</v>
      </c>
      <c r="G20" s="250">
        <v>0.3242236</v>
      </c>
      <c r="H20" s="248">
        <v>0</v>
      </c>
      <c r="I20" s="254">
        <v>1</v>
      </c>
      <c r="J20" s="253">
        <v>797</v>
      </c>
      <c r="K20" s="250">
        <v>0.21580930000000001</v>
      </c>
      <c r="L20" s="250">
        <v>0.41164089999999998</v>
      </c>
      <c r="M20" s="248">
        <v>0</v>
      </c>
      <c r="N20" s="254">
        <v>1</v>
      </c>
      <c r="O20" s="156"/>
    </row>
    <row r="21" spans="1:15" x14ac:dyDescent="0.2">
      <c r="A21" s="156"/>
      <c r="B21" s="156"/>
      <c r="C21" s="156"/>
      <c r="D21" s="27" t="s">
        <v>63</v>
      </c>
      <c r="E21" s="253">
        <v>797</v>
      </c>
      <c r="F21" s="250">
        <v>1.25471E-2</v>
      </c>
      <c r="G21" s="250">
        <v>0.11137859999999999</v>
      </c>
      <c r="H21" s="248">
        <v>0</v>
      </c>
      <c r="I21" s="254">
        <v>1</v>
      </c>
      <c r="J21" s="253">
        <v>797</v>
      </c>
      <c r="K21" s="250">
        <v>8.7828999999999997E-3</v>
      </c>
      <c r="L21" s="250">
        <v>9.3363399999999999E-2</v>
      </c>
      <c r="M21" s="248">
        <v>0</v>
      </c>
      <c r="N21" s="254">
        <v>1</v>
      </c>
      <c r="O21" s="156"/>
    </row>
    <row r="22" spans="1:15" ht="16" thickBot="1" x14ac:dyDescent="0.25">
      <c r="A22" s="156"/>
      <c r="B22" s="156"/>
      <c r="C22" s="156"/>
      <c r="D22" s="186" t="s">
        <v>64</v>
      </c>
      <c r="E22" s="257">
        <v>797</v>
      </c>
      <c r="F22" s="258">
        <v>0.11417819999999999</v>
      </c>
      <c r="G22" s="258">
        <v>0.31822719999999999</v>
      </c>
      <c r="H22" s="259">
        <v>0</v>
      </c>
      <c r="I22" s="263">
        <v>1</v>
      </c>
      <c r="J22" s="257">
        <v>797</v>
      </c>
      <c r="K22" s="258">
        <v>0.20200750000000001</v>
      </c>
      <c r="L22" s="258">
        <v>0.40174989999999999</v>
      </c>
      <c r="M22" s="259">
        <v>0</v>
      </c>
      <c r="N22" s="263">
        <v>1</v>
      </c>
      <c r="O22" s="156"/>
    </row>
    <row r="23" spans="1:15" x14ac:dyDescent="0.2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</row>
    <row r="24" spans="1:15" x14ac:dyDescent="0.2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</row>
    <row r="25" spans="1:15" x14ac:dyDescent="0.2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</row>
  </sheetData>
  <mergeCells count="3">
    <mergeCell ref="E5:I5"/>
    <mergeCell ref="J5:N5"/>
    <mergeCell ref="D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7BD1-3B4C-4849-9065-26207A5E1BC2}">
  <dimension ref="D2:Q16"/>
  <sheetViews>
    <sheetView workbookViewId="0">
      <selection activeCell="G19" sqref="G19"/>
    </sheetView>
  </sheetViews>
  <sheetFormatPr baseColWidth="10" defaultRowHeight="15" x14ac:dyDescent="0.2"/>
  <cols>
    <col min="5" max="5" width="19.1640625" bestFit="1" customWidth="1"/>
  </cols>
  <sheetData>
    <row r="2" spans="4:17" ht="16" thickBot="1" x14ac:dyDescent="0.25"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</row>
    <row r="3" spans="4:17" ht="16" thickBot="1" x14ac:dyDescent="0.25">
      <c r="D3" s="156"/>
      <c r="E3" s="342" t="s">
        <v>793</v>
      </c>
      <c r="F3" s="343"/>
      <c r="G3" s="343"/>
      <c r="H3" s="343"/>
      <c r="I3" s="343"/>
      <c r="J3" s="343"/>
      <c r="K3" s="343"/>
      <c r="L3" s="343"/>
      <c r="M3" s="343"/>
      <c r="N3" s="343"/>
      <c r="O3" s="344"/>
      <c r="P3" s="156"/>
      <c r="Q3" s="156"/>
    </row>
    <row r="4" spans="4:17" x14ac:dyDescent="0.2">
      <c r="D4" s="156"/>
      <c r="E4" s="265"/>
      <c r="F4" s="348" t="s">
        <v>785</v>
      </c>
      <c r="G4" s="349"/>
      <c r="H4" s="349"/>
      <c r="I4" s="349"/>
      <c r="J4" s="350"/>
      <c r="K4" s="348" t="s">
        <v>786</v>
      </c>
      <c r="L4" s="349"/>
      <c r="M4" s="349"/>
      <c r="N4" s="349"/>
      <c r="O4" s="350"/>
      <c r="P4" s="156"/>
      <c r="Q4" s="156"/>
    </row>
    <row r="5" spans="4:17" ht="16" x14ac:dyDescent="0.2">
      <c r="D5" s="156"/>
      <c r="E5" s="264" t="s">
        <v>297</v>
      </c>
      <c r="F5" s="253" t="s">
        <v>783</v>
      </c>
      <c r="G5" s="248" t="s">
        <v>304</v>
      </c>
      <c r="H5" s="248" t="s">
        <v>784</v>
      </c>
      <c r="I5" s="248" t="s">
        <v>307</v>
      </c>
      <c r="J5" s="254" t="s">
        <v>308</v>
      </c>
      <c r="K5" s="253" t="s">
        <v>783</v>
      </c>
      <c r="L5" s="248" t="s">
        <v>304</v>
      </c>
      <c r="M5" s="248" t="s">
        <v>784</v>
      </c>
      <c r="N5" s="248" t="s">
        <v>307</v>
      </c>
      <c r="O5" s="254" t="s">
        <v>308</v>
      </c>
      <c r="P5" s="156"/>
      <c r="Q5" s="156"/>
    </row>
    <row r="6" spans="4:17" x14ac:dyDescent="0.2">
      <c r="D6" s="156"/>
      <c r="E6" s="217"/>
      <c r="F6" s="255"/>
      <c r="G6" s="249"/>
      <c r="H6" s="156"/>
      <c r="I6" s="156"/>
      <c r="J6" s="158"/>
      <c r="K6" s="255"/>
      <c r="L6" s="249"/>
      <c r="M6" s="156"/>
      <c r="N6" s="156"/>
      <c r="O6" s="158"/>
      <c r="P6" s="156"/>
      <c r="Q6" s="156"/>
    </row>
    <row r="7" spans="4:17" x14ac:dyDescent="0.2">
      <c r="D7" s="156"/>
      <c r="E7" s="13" t="s">
        <v>41</v>
      </c>
      <c r="F7" s="253">
        <v>797</v>
      </c>
      <c r="G7" s="248">
        <v>0.57967380000000002</v>
      </c>
      <c r="H7" s="248">
        <v>0.4939212</v>
      </c>
      <c r="I7" s="248">
        <v>0</v>
      </c>
      <c r="J7" s="254">
        <v>1</v>
      </c>
      <c r="K7" s="253">
        <v>797</v>
      </c>
      <c r="L7" s="248">
        <v>0.6148055</v>
      </c>
      <c r="M7" s="248">
        <v>0.48694680000000001</v>
      </c>
      <c r="N7" s="248">
        <v>0</v>
      </c>
      <c r="O7" s="254">
        <v>1</v>
      </c>
      <c r="P7" s="156"/>
      <c r="Q7" s="156"/>
    </row>
    <row r="8" spans="4:17" x14ac:dyDescent="0.2">
      <c r="D8" s="156"/>
      <c r="E8" s="13" t="s">
        <v>42</v>
      </c>
      <c r="F8" s="253">
        <v>796</v>
      </c>
      <c r="G8" s="248">
        <v>0.34170850000000003</v>
      </c>
      <c r="H8" s="248">
        <v>0.47458060000000002</v>
      </c>
      <c r="I8" s="248">
        <v>0</v>
      </c>
      <c r="J8" s="254">
        <v>1</v>
      </c>
      <c r="K8" s="253">
        <v>796</v>
      </c>
      <c r="L8" s="248">
        <v>0.34673369999999998</v>
      </c>
      <c r="M8" s="248">
        <v>0.47622930000000002</v>
      </c>
      <c r="N8" s="248">
        <v>0</v>
      </c>
      <c r="O8" s="254">
        <v>1</v>
      </c>
      <c r="P8" s="156"/>
      <c r="Q8" s="156"/>
    </row>
    <row r="9" spans="4:17" x14ac:dyDescent="0.2">
      <c r="D9" s="156"/>
      <c r="E9" s="13" t="s">
        <v>43</v>
      </c>
      <c r="F9" s="253">
        <v>796</v>
      </c>
      <c r="G9" s="248">
        <v>55</v>
      </c>
      <c r="H9" s="248">
        <v>23.496289999999998</v>
      </c>
      <c r="I9" s="248">
        <v>0</v>
      </c>
      <c r="J9" s="254">
        <v>100</v>
      </c>
      <c r="K9" s="253">
        <v>795</v>
      </c>
      <c r="L9" s="248">
        <v>54.081760000000003</v>
      </c>
      <c r="M9" s="248">
        <v>22.80902</v>
      </c>
      <c r="N9" s="248">
        <v>0</v>
      </c>
      <c r="O9" s="254">
        <v>100</v>
      </c>
      <c r="P9" s="156"/>
      <c r="Q9" s="156"/>
    </row>
    <row r="10" spans="4:17" x14ac:dyDescent="0.2">
      <c r="D10" s="156"/>
      <c r="E10" s="13" t="s">
        <v>44</v>
      </c>
      <c r="F10" s="253">
        <v>796</v>
      </c>
      <c r="G10" s="248">
        <v>39.868090000000002</v>
      </c>
      <c r="H10" s="248">
        <v>26.729749999999999</v>
      </c>
      <c r="I10" s="248">
        <v>0</v>
      </c>
      <c r="J10" s="254">
        <v>100</v>
      </c>
      <c r="K10" s="253">
        <v>795</v>
      </c>
      <c r="L10" s="248">
        <v>37.396230000000003</v>
      </c>
      <c r="M10" s="248">
        <v>25.994340000000001</v>
      </c>
      <c r="N10" s="248">
        <v>0</v>
      </c>
      <c r="O10" s="254">
        <v>100</v>
      </c>
      <c r="P10" s="156"/>
      <c r="Q10" s="156"/>
    </row>
    <row r="11" spans="4:17" x14ac:dyDescent="0.2">
      <c r="D11" s="156"/>
      <c r="E11" s="13" t="s">
        <v>45</v>
      </c>
      <c r="F11" s="253">
        <v>795</v>
      </c>
      <c r="G11" s="248">
        <v>50.31447</v>
      </c>
      <c r="H11" s="248">
        <v>22.818449999999999</v>
      </c>
      <c r="I11" s="248">
        <v>0</v>
      </c>
      <c r="J11" s="254">
        <v>100</v>
      </c>
      <c r="K11" s="253">
        <v>794</v>
      </c>
      <c r="L11" s="248">
        <v>48.853900000000003</v>
      </c>
      <c r="M11" s="248">
        <v>22.657800000000002</v>
      </c>
      <c r="N11" s="248">
        <v>0</v>
      </c>
      <c r="O11" s="254">
        <v>100</v>
      </c>
      <c r="P11" s="156"/>
      <c r="Q11" s="156"/>
    </row>
    <row r="12" spans="4:17" x14ac:dyDescent="0.2">
      <c r="D12" s="156"/>
      <c r="E12" s="13" t="s">
        <v>46</v>
      </c>
      <c r="F12" s="253">
        <v>796</v>
      </c>
      <c r="G12" s="248">
        <v>55.805280000000003</v>
      </c>
      <c r="H12" s="248">
        <v>20.363890000000001</v>
      </c>
      <c r="I12" s="248">
        <v>0</v>
      </c>
      <c r="J12" s="254">
        <v>90</v>
      </c>
      <c r="K12" s="253">
        <v>797</v>
      </c>
      <c r="L12" s="248">
        <v>55.381430000000002</v>
      </c>
      <c r="M12" s="248">
        <v>20.896370000000001</v>
      </c>
      <c r="N12" s="248">
        <v>0</v>
      </c>
      <c r="O12" s="254">
        <v>100</v>
      </c>
      <c r="P12" s="156"/>
      <c r="Q12" s="156"/>
    </row>
    <row r="13" spans="4:17" x14ac:dyDescent="0.2">
      <c r="D13" s="156"/>
      <c r="E13" s="13" t="s">
        <v>47</v>
      </c>
      <c r="F13" s="253">
        <v>796</v>
      </c>
      <c r="G13" s="248">
        <v>34.525129999999997</v>
      </c>
      <c r="H13" s="248">
        <v>19.083020000000001</v>
      </c>
      <c r="I13" s="248">
        <v>5</v>
      </c>
      <c r="J13" s="254">
        <v>100</v>
      </c>
      <c r="K13" s="253">
        <v>797</v>
      </c>
      <c r="L13" s="248">
        <v>35.613549999999996</v>
      </c>
      <c r="M13" s="248">
        <v>19.602360000000001</v>
      </c>
      <c r="N13" s="248">
        <v>0</v>
      </c>
      <c r="O13" s="254">
        <v>100</v>
      </c>
      <c r="P13" s="156"/>
      <c r="Q13" s="156"/>
    </row>
    <row r="14" spans="4:17" ht="16" thickBot="1" x14ac:dyDescent="0.25">
      <c r="D14" s="156"/>
      <c r="E14" s="75" t="s">
        <v>48</v>
      </c>
      <c r="F14" s="257">
        <v>796</v>
      </c>
      <c r="G14" s="259">
        <v>9.6909550000000007</v>
      </c>
      <c r="H14" s="259">
        <v>7.0045780000000004</v>
      </c>
      <c r="I14" s="259">
        <v>0</v>
      </c>
      <c r="J14" s="263">
        <v>70</v>
      </c>
      <c r="K14" s="257">
        <v>797</v>
      </c>
      <c r="L14" s="259">
        <v>9.0552069999999993</v>
      </c>
      <c r="M14" s="259">
        <v>7.1463150000000004</v>
      </c>
      <c r="N14" s="259">
        <v>0</v>
      </c>
      <c r="O14" s="263">
        <v>70</v>
      </c>
      <c r="P14" s="156"/>
      <c r="Q14" s="156"/>
    </row>
    <row r="15" spans="4:17" x14ac:dyDescent="0.2"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</row>
    <row r="16" spans="4:17" x14ac:dyDescent="0.2"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</row>
  </sheetData>
  <mergeCells count="3">
    <mergeCell ref="F4:J4"/>
    <mergeCell ref="K4:O4"/>
    <mergeCell ref="E3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A90D-898C-0D4A-BF89-D745F754A089}">
  <dimension ref="D3:Z104"/>
  <sheetViews>
    <sheetView zoomScale="50" zoomScaleNormal="50" workbookViewId="0">
      <selection activeCell="P4" sqref="P4:Z5"/>
    </sheetView>
  </sheetViews>
  <sheetFormatPr baseColWidth="10" defaultRowHeight="15" x14ac:dyDescent="0.2"/>
  <cols>
    <col min="1" max="3" width="10.83203125" style="156"/>
    <col min="4" max="4" width="25.6640625" style="156" bestFit="1" customWidth="1"/>
    <col min="5" max="5" width="10.83203125" style="156"/>
    <col min="6" max="6" width="11.6640625" style="252" bestFit="1" customWidth="1"/>
    <col min="7" max="7" width="12.6640625" style="252" bestFit="1" customWidth="1"/>
    <col min="8" max="10" width="10.83203125" style="156"/>
    <col min="11" max="12" width="13.6640625" style="252" bestFit="1" customWidth="1"/>
    <col min="13" max="15" width="10.83203125" style="156"/>
    <col min="16" max="16" width="20.6640625" style="156" bestFit="1" customWidth="1"/>
    <col min="17" max="16384" width="10.83203125" style="156"/>
  </cols>
  <sheetData>
    <row r="3" spans="4:26" ht="16" thickBot="1" x14ac:dyDescent="0.25"/>
    <row r="4" spans="4:26" ht="16" thickBot="1" x14ac:dyDescent="0.25">
      <c r="D4" s="342" t="s">
        <v>543</v>
      </c>
      <c r="E4" s="343"/>
      <c r="F4" s="343"/>
      <c r="G4" s="343"/>
      <c r="H4" s="343"/>
      <c r="I4" s="343"/>
      <c r="J4" s="343"/>
      <c r="K4" s="343"/>
      <c r="L4" s="343"/>
      <c r="M4" s="343"/>
      <c r="N4" s="344"/>
      <c r="P4" s="342" t="s">
        <v>788</v>
      </c>
      <c r="Q4" s="343"/>
      <c r="R4" s="343"/>
      <c r="S4" s="343"/>
      <c r="T4" s="343"/>
      <c r="U4" s="343"/>
      <c r="V4" s="343"/>
      <c r="W4" s="343"/>
      <c r="X4" s="343"/>
      <c r="Y4" s="343"/>
      <c r="Z4" s="344"/>
    </row>
    <row r="5" spans="4:26" x14ac:dyDescent="0.2">
      <c r="D5" s="262"/>
      <c r="E5" s="345" t="s">
        <v>785</v>
      </c>
      <c r="F5" s="346"/>
      <c r="G5" s="346"/>
      <c r="H5" s="346"/>
      <c r="I5" s="347"/>
      <c r="J5" s="345" t="s">
        <v>786</v>
      </c>
      <c r="K5" s="346"/>
      <c r="L5" s="346"/>
      <c r="M5" s="346"/>
      <c r="N5" s="347"/>
      <c r="P5" s="265"/>
      <c r="Q5" s="345" t="s">
        <v>785</v>
      </c>
      <c r="R5" s="346"/>
      <c r="S5" s="346"/>
      <c r="T5" s="346"/>
      <c r="U5" s="347"/>
      <c r="V5" s="345" t="s">
        <v>786</v>
      </c>
      <c r="W5" s="346"/>
      <c r="X5" s="346"/>
      <c r="Y5" s="346"/>
      <c r="Z5" s="347"/>
    </row>
    <row r="6" spans="4:26" ht="16" x14ac:dyDescent="0.2">
      <c r="D6" s="253" t="s">
        <v>297</v>
      </c>
      <c r="E6" s="253" t="s">
        <v>783</v>
      </c>
      <c r="F6" s="250" t="s">
        <v>304</v>
      </c>
      <c r="G6" s="250" t="s">
        <v>784</v>
      </c>
      <c r="H6" s="248" t="s">
        <v>307</v>
      </c>
      <c r="I6" s="254" t="s">
        <v>308</v>
      </c>
      <c r="J6" s="253" t="s">
        <v>783</v>
      </c>
      <c r="K6" s="250" t="s">
        <v>304</v>
      </c>
      <c r="L6" s="250" t="s">
        <v>784</v>
      </c>
      <c r="M6" s="248" t="s">
        <v>307</v>
      </c>
      <c r="N6" s="254" t="s">
        <v>308</v>
      </c>
      <c r="P6" s="264" t="s">
        <v>297</v>
      </c>
      <c r="Q6" s="253" t="s">
        <v>783</v>
      </c>
      <c r="R6" s="248" t="s">
        <v>304</v>
      </c>
      <c r="S6" s="248" t="s">
        <v>784</v>
      </c>
      <c r="T6" s="248" t="s">
        <v>307</v>
      </c>
      <c r="U6" s="254" t="s">
        <v>308</v>
      </c>
      <c r="V6" s="253" t="s">
        <v>783</v>
      </c>
      <c r="W6" s="248" t="s">
        <v>304</v>
      </c>
      <c r="X6" s="248" t="s">
        <v>784</v>
      </c>
      <c r="Y6" s="248" t="s">
        <v>307</v>
      </c>
      <c r="Z6" s="254" t="s">
        <v>308</v>
      </c>
    </row>
    <row r="7" spans="4:26" x14ac:dyDescent="0.2">
      <c r="D7" s="255"/>
      <c r="E7" s="255"/>
      <c r="F7" s="251"/>
      <c r="I7" s="158"/>
      <c r="J7" s="255"/>
      <c r="K7" s="251"/>
      <c r="N7" s="158"/>
      <c r="P7" s="217"/>
      <c r="Q7" s="255"/>
      <c r="R7" s="249"/>
      <c r="U7" s="158"/>
      <c r="V7" s="255"/>
      <c r="W7" s="249"/>
      <c r="Z7" s="158"/>
    </row>
    <row r="8" spans="4:26" x14ac:dyDescent="0.2">
      <c r="D8" s="27" t="s">
        <v>84</v>
      </c>
      <c r="E8" s="253">
        <v>797</v>
      </c>
      <c r="F8" s="250">
        <v>0.17063990000000001</v>
      </c>
      <c r="G8" s="250">
        <v>0.37643019999999999</v>
      </c>
      <c r="H8" s="248">
        <v>0</v>
      </c>
      <c r="I8" s="254">
        <v>1</v>
      </c>
      <c r="J8" s="253">
        <v>797</v>
      </c>
      <c r="K8" s="250">
        <v>0.2082811</v>
      </c>
      <c r="L8" s="250">
        <v>0.40633390000000003</v>
      </c>
      <c r="M8" s="248">
        <v>0</v>
      </c>
      <c r="N8" s="254">
        <v>1</v>
      </c>
      <c r="P8" s="13" t="s">
        <v>154</v>
      </c>
      <c r="Q8" s="253">
        <v>797</v>
      </c>
      <c r="R8" s="250">
        <v>1.9632750000000001</v>
      </c>
      <c r="S8" s="250">
        <v>18.401959999999999</v>
      </c>
      <c r="T8" s="248">
        <v>0</v>
      </c>
      <c r="U8" s="254">
        <v>506.45</v>
      </c>
      <c r="V8" s="253">
        <v>797</v>
      </c>
      <c r="W8" s="250">
        <v>1.864115</v>
      </c>
      <c r="X8" s="250">
        <v>6.149108</v>
      </c>
      <c r="Y8" s="248">
        <v>0</v>
      </c>
      <c r="Z8" s="254">
        <v>110</v>
      </c>
    </row>
    <row r="9" spans="4:26" x14ac:dyDescent="0.2">
      <c r="D9" s="27" t="s">
        <v>85</v>
      </c>
      <c r="E9" s="253">
        <v>797</v>
      </c>
      <c r="F9" s="250">
        <v>0.25094100000000003</v>
      </c>
      <c r="G9" s="250">
        <v>0.64173500000000006</v>
      </c>
      <c r="H9" s="248">
        <v>0</v>
      </c>
      <c r="I9" s="254">
        <v>5</v>
      </c>
      <c r="J9" s="253">
        <v>797</v>
      </c>
      <c r="K9" s="250">
        <v>0.31367630000000002</v>
      </c>
      <c r="L9" s="250">
        <v>0.71204719999999999</v>
      </c>
      <c r="M9" s="248">
        <v>0</v>
      </c>
      <c r="N9" s="254">
        <v>4</v>
      </c>
      <c r="P9" s="13" t="s">
        <v>155</v>
      </c>
      <c r="Q9" s="253">
        <v>797</v>
      </c>
      <c r="R9" s="250">
        <v>0.94977420000000001</v>
      </c>
      <c r="S9" s="250">
        <v>5.3138810000000003</v>
      </c>
      <c r="T9" s="248">
        <v>0</v>
      </c>
      <c r="U9" s="254">
        <v>105.05</v>
      </c>
      <c r="V9" s="253">
        <v>797</v>
      </c>
      <c r="W9" s="250">
        <v>1.3533999999999999</v>
      </c>
      <c r="X9" s="250">
        <v>5.6609179999999997</v>
      </c>
      <c r="Y9" s="248">
        <v>0</v>
      </c>
      <c r="Z9" s="254">
        <v>105</v>
      </c>
    </row>
    <row r="10" spans="4:26" ht="16" thickBot="1" x14ac:dyDescent="0.25">
      <c r="D10" s="27" t="s">
        <v>86</v>
      </c>
      <c r="E10" s="253">
        <v>797</v>
      </c>
      <c r="F10" s="250">
        <v>1049.2470000000001</v>
      </c>
      <c r="G10" s="250">
        <v>3183.2910000000002</v>
      </c>
      <c r="H10" s="248">
        <v>0</v>
      </c>
      <c r="I10" s="254">
        <v>35000</v>
      </c>
      <c r="J10" s="253">
        <v>797</v>
      </c>
      <c r="K10" s="250">
        <v>1384.3789999999999</v>
      </c>
      <c r="L10" s="250">
        <v>3552.8580000000002</v>
      </c>
      <c r="M10" s="248">
        <v>0</v>
      </c>
      <c r="N10" s="254">
        <v>35000</v>
      </c>
      <c r="P10" s="75" t="s">
        <v>156</v>
      </c>
      <c r="Q10" s="257">
        <v>797</v>
      </c>
      <c r="R10" s="258">
        <v>1.0166500000000001</v>
      </c>
      <c r="S10" s="258">
        <v>14.29406</v>
      </c>
      <c r="T10" s="259">
        <v>0</v>
      </c>
      <c r="U10" s="263">
        <v>401.4</v>
      </c>
      <c r="V10" s="257">
        <v>797</v>
      </c>
      <c r="W10" s="258">
        <v>0.50885820000000004</v>
      </c>
      <c r="X10" s="258">
        <v>1.404466</v>
      </c>
      <c r="Y10" s="259">
        <v>0</v>
      </c>
      <c r="Z10" s="263">
        <v>20</v>
      </c>
    </row>
    <row r="11" spans="4:26" x14ac:dyDescent="0.2">
      <c r="D11" s="27" t="s">
        <v>87</v>
      </c>
      <c r="E11" s="253">
        <v>797</v>
      </c>
      <c r="F11" s="250">
        <v>9.1593499999999994E-2</v>
      </c>
      <c r="G11" s="250">
        <v>0.33683730000000001</v>
      </c>
      <c r="H11" s="248">
        <v>0</v>
      </c>
      <c r="I11" s="254">
        <v>3</v>
      </c>
      <c r="J11" s="253">
        <v>797</v>
      </c>
      <c r="K11" s="250">
        <v>0.1028858</v>
      </c>
      <c r="L11" s="250">
        <v>0.38102510000000001</v>
      </c>
      <c r="M11" s="248">
        <v>0</v>
      </c>
      <c r="N11" s="254">
        <v>4</v>
      </c>
    </row>
    <row r="12" spans="4:26" ht="16" thickBot="1" x14ac:dyDescent="0.25">
      <c r="D12" s="27" t="s">
        <v>88</v>
      </c>
      <c r="E12" s="253">
        <v>797</v>
      </c>
      <c r="F12" s="250">
        <v>0.15809280000000001</v>
      </c>
      <c r="G12" s="250">
        <v>0.46764709999999998</v>
      </c>
      <c r="H12" s="248">
        <v>0</v>
      </c>
      <c r="I12" s="254">
        <v>4</v>
      </c>
      <c r="J12" s="253">
        <v>797</v>
      </c>
      <c r="K12" s="250">
        <v>0.21079049999999999</v>
      </c>
      <c r="L12" s="250">
        <v>0.50697049999999999</v>
      </c>
      <c r="M12" s="248">
        <v>0</v>
      </c>
      <c r="N12" s="254">
        <v>4</v>
      </c>
    </row>
    <row r="13" spans="4:26" ht="16" thickBot="1" x14ac:dyDescent="0.25">
      <c r="D13" s="27" t="s">
        <v>89</v>
      </c>
      <c r="E13" s="253">
        <v>797</v>
      </c>
      <c r="F13" s="250">
        <v>1719.636</v>
      </c>
      <c r="G13" s="250">
        <v>6671.223</v>
      </c>
      <c r="H13" s="248">
        <v>0</v>
      </c>
      <c r="I13" s="254">
        <v>105000</v>
      </c>
      <c r="J13" s="253">
        <v>797</v>
      </c>
      <c r="K13" s="250">
        <v>2258.6570000000002</v>
      </c>
      <c r="L13" s="250">
        <v>7088.2520000000004</v>
      </c>
      <c r="M13" s="248">
        <v>0</v>
      </c>
      <c r="N13" s="254">
        <v>105000</v>
      </c>
      <c r="P13" s="342" t="s">
        <v>789</v>
      </c>
      <c r="Q13" s="343"/>
      <c r="R13" s="343"/>
      <c r="S13" s="343"/>
      <c r="T13" s="343"/>
      <c r="U13" s="343"/>
      <c r="V13" s="343"/>
      <c r="W13" s="343"/>
      <c r="X13" s="343"/>
      <c r="Y13" s="343"/>
      <c r="Z13" s="344"/>
    </row>
    <row r="14" spans="4:26" x14ac:dyDescent="0.2">
      <c r="D14" s="27" t="s">
        <v>90</v>
      </c>
      <c r="E14" s="253">
        <v>797</v>
      </c>
      <c r="F14" s="250">
        <v>731.17939999999999</v>
      </c>
      <c r="G14" s="250">
        <v>3958.0859999999998</v>
      </c>
      <c r="H14" s="248">
        <v>0</v>
      </c>
      <c r="I14" s="254">
        <v>70000</v>
      </c>
      <c r="J14" s="253">
        <v>797</v>
      </c>
      <c r="K14" s="250">
        <v>859.72400000000005</v>
      </c>
      <c r="L14" s="250">
        <v>4335.9690000000001</v>
      </c>
      <c r="M14" s="248">
        <v>0</v>
      </c>
      <c r="N14" s="254">
        <v>70000</v>
      </c>
      <c r="P14" s="262"/>
      <c r="Q14" s="348" t="s">
        <v>785</v>
      </c>
      <c r="R14" s="349"/>
      <c r="S14" s="349"/>
      <c r="T14" s="349"/>
      <c r="U14" s="350"/>
      <c r="V14" s="348" t="s">
        <v>786</v>
      </c>
      <c r="W14" s="349"/>
      <c r="X14" s="349"/>
      <c r="Y14" s="349"/>
      <c r="Z14" s="350"/>
    </row>
    <row r="15" spans="4:26" ht="16" x14ac:dyDescent="0.2">
      <c r="D15" s="27" t="s">
        <v>91</v>
      </c>
      <c r="E15" s="253">
        <v>797</v>
      </c>
      <c r="F15" s="250">
        <v>992.97370000000001</v>
      </c>
      <c r="G15" s="250">
        <v>4034.2260000000001</v>
      </c>
      <c r="H15" s="248">
        <v>0</v>
      </c>
      <c r="I15" s="254">
        <v>60000</v>
      </c>
      <c r="J15" s="253">
        <v>797</v>
      </c>
      <c r="K15" s="250">
        <v>1398.934</v>
      </c>
      <c r="L15" s="250">
        <v>4110.741</v>
      </c>
      <c r="M15" s="248">
        <v>0</v>
      </c>
      <c r="N15" s="254">
        <v>35000</v>
      </c>
      <c r="P15" s="253" t="s">
        <v>297</v>
      </c>
      <c r="Q15" s="253" t="s">
        <v>783</v>
      </c>
      <c r="R15" s="248" t="s">
        <v>304</v>
      </c>
      <c r="S15" s="248" t="s">
        <v>784</v>
      </c>
      <c r="T15" s="248" t="s">
        <v>307</v>
      </c>
      <c r="U15" s="254" t="s">
        <v>308</v>
      </c>
      <c r="V15" s="248" t="s">
        <v>304</v>
      </c>
      <c r="W15" s="248" t="s">
        <v>784</v>
      </c>
      <c r="X15" s="248" t="s">
        <v>307</v>
      </c>
      <c r="Y15" s="248" t="s">
        <v>308</v>
      </c>
      <c r="Z15" s="158"/>
    </row>
    <row r="16" spans="4:26" x14ac:dyDescent="0.2">
      <c r="D16" s="27" t="s">
        <v>92</v>
      </c>
      <c r="E16" s="253">
        <v>797</v>
      </c>
      <c r="F16" s="250">
        <v>0.95483059999999997</v>
      </c>
      <c r="G16" s="250">
        <v>0.20780589999999999</v>
      </c>
      <c r="H16" s="248">
        <v>0</v>
      </c>
      <c r="I16" s="254">
        <v>1</v>
      </c>
      <c r="J16" s="253">
        <v>797</v>
      </c>
      <c r="K16" s="250">
        <v>0.96110410000000002</v>
      </c>
      <c r="L16" s="250">
        <v>0.19346820000000001</v>
      </c>
      <c r="M16" s="248">
        <v>0</v>
      </c>
      <c r="N16" s="254">
        <v>1</v>
      </c>
      <c r="P16" s="27" t="s">
        <v>65</v>
      </c>
      <c r="Q16" s="253">
        <v>796</v>
      </c>
      <c r="R16" s="250">
        <v>0.50125629999999999</v>
      </c>
      <c r="S16" s="250">
        <v>0.5003128</v>
      </c>
      <c r="T16" s="248">
        <v>0</v>
      </c>
      <c r="U16" s="254">
        <v>1</v>
      </c>
      <c r="V16" s="248">
        <v>795</v>
      </c>
      <c r="W16" s="250">
        <v>0.55094339999999997</v>
      </c>
      <c r="X16" s="250">
        <v>0.49771110000000002</v>
      </c>
      <c r="Y16" s="248">
        <v>0</v>
      </c>
      <c r="Z16" s="254">
        <v>1</v>
      </c>
    </row>
    <row r="17" spans="4:26" x14ac:dyDescent="0.2">
      <c r="D17" s="27" t="s">
        <v>93</v>
      </c>
      <c r="E17" s="253">
        <v>797</v>
      </c>
      <c r="F17" s="250">
        <v>3.0376409999999998</v>
      </c>
      <c r="G17" s="250">
        <v>2.040689</v>
      </c>
      <c r="H17" s="248">
        <v>0</v>
      </c>
      <c r="I17" s="254">
        <v>15</v>
      </c>
      <c r="J17" s="253">
        <v>797</v>
      </c>
      <c r="K17" s="250">
        <v>3.1681300000000001</v>
      </c>
      <c r="L17" s="250">
        <v>2.2252179999999999</v>
      </c>
      <c r="M17" s="248">
        <v>0</v>
      </c>
      <c r="N17" s="254">
        <v>24</v>
      </c>
      <c r="P17" s="27" t="s">
        <v>66</v>
      </c>
      <c r="Q17" s="253">
        <v>797</v>
      </c>
      <c r="R17" s="250">
        <v>0.3237139</v>
      </c>
      <c r="S17" s="250">
        <v>0.46818609999999999</v>
      </c>
      <c r="T17" s="248">
        <v>0</v>
      </c>
      <c r="U17" s="254">
        <v>1</v>
      </c>
      <c r="V17" s="248">
        <v>797</v>
      </c>
      <c r="W17" s="250">
        <v>0.25094100000000003</v>
      </c>
      <c r="X17" s="250">
        <v>0.43382690000000002</v>
      </c>
      <c r="Y17" s="248">
        <v>0</v>
      </c>
      <c r="Z17" s="254">
        <v>1</v>
      </c>
    </row>
    <row r="18" spans="4:26" x14ac:dyDescent="0.2">
      <c r="D18" s="27" t="s">
        <v>94</v>
      </c>
      <c r="E18" s="253">
        <v>797</v>
      </c>
      <c r="F18" s="250">
        <v>4498.4440000000004</v>
      </c>
      <c r="G18" s="250">
        <v>6878.7370000000001</v>
      </c>
      <c r="H18" s="248">
        <v>0</v>
      </c>
      <c r="I18" s="254">
        <v>150000</v>
      </c>
      <c r="J18" s="253">
        <v>797</v>
      </c>
      <c r="K18" s="250">
        <v>4630.96</v>
      </c>
      <c r="L18" s="250">
        <v>3469.096</v>
      </c>
      <c r="M18" s="248">
        <v>0</v>
      </c>
      <c r="N18" s="254">
        <v>35000</v>
      </c>
      <c r="P18" s="27" t="s">
        <v>67</v>
      </c>
      <c r="Q18" s="253">
        <v>797</v>
      </c>
      <c r="R18" s="250">
        <v>7.5281999999999996E-3</v>
      </c>
      <c r="S18" s="250">
        <v>8.6492399999999997E-2</v>
      </c>
      <c r="T18" s="248">
        <v>0</v>
      </c>
      <c r="U18" s="254">
        <v>1</v>
      </c>
      <c r="V18" s="248">
        <v>797</v>
      </c>
      <c r="W18" s="250">
        <v>7.5281999999999996E-3</v>
      </c>
      <c r="X18" s="250">
        <v>8.6492399999999997E-2</v>
      </c>
      <c r="Y18" s="248">
        <v>0</v>
      </c>
      <c r="Z18" s="254">
        <v>1</v>
      </c>
    </row>
    <row r="19" spans="4:26" x14ac:dyDescent="0.2">
      <c r="D19" s="27" t="s">
        <v>95</v>
      </c>
      <c r="E19" s="253">
        <v>797</v>
      </c>
      <c r="F19" s="250">
        <v>1.375157</v>
      </c>
      <c r="G19" s="250">
        <v>1.2852209999999999</v>
      </c>
      <c r="H19" s="248">
        <v>0</v>
      </c>
      <c r="I19" s="254">
        <v>12</v>
      </c>
      <c r="J19" s="253">
        <v>797</v>
      </c>
      <c r="K19" s="250">
        <v>1.40527</v>
      </c>
      <c r="L19" s="250">
        <v>1.1084970000000001</v>
      </c>
      <c r="M19" s="248">
        <v>0</v>
      </c>
      <c r="N19" s="254">
        <v>8</v>
      </c>
      <c r="P19" s="27" t="s">
        <v>68</v>
      </c>
      <c r="Q19" s="253">
        <v>797</v>
      </c>
      <c r="R19" s="250">
        <v>0.17063990000000001</v>
      </c>
      <c r="S19" s="250">
        <v>0.37643019999999999</v>
      </c>
      <c r="T19" s="248">
        <v>0</v>
      </c>
      <c r="U19" s="254">
        <v>1</v>
      </c>
      <c r="V19" s="248">
        <v>797</v>
      </c>
      <c r="W19" s="250">
        <v>0.29109160000000001</v>
      </c>
      <c r="X19" s="250">
        <v>0.45455089999999998</v>
      </c>
      <c r="Y19" s="248">
        <v>0</v>
      </c>
      <c r="Z19" s="254">
        <v>1</v>
      </c>
    </row>
    <row r="20" spans="4:26" x14ac:dyDescent="0.2">
      <c r="D20" s="27" t="s">
        <v>96</v>
      </c>
      <c r="E20" s="253">
        <v>797</v>
      </c>
      <c r="F20" s="250">
        <v>1.6737770000000001</v>
      </c>
      <c r="G20" s="250">
        <v>1.2119489999999999</v>
      </c>
      <c r="H20" s="248">
        <v>0</v>
      </c>
      <c r="I20" s="254">
        <v>9</v>
      </c>
      <c r="J20" s="253">
        <v>797</v>
      </c>
      <c r="K20" s="250">
        <v>1.760351</v>
      </c>
      <c r="L20" s="250">
        <v>1.4908539999999999</v>
      </c>
      <c r="M20" s="248">
        <v>0</v>
      </c>
      <c r="N20" s="254">
        <v>22</v>
      </c>
      <c r="P20" s="27" t="s">
        <v>69</v>
      </c>
      <c r="Q20" s="253">
        <v>796</v>
      </c>
      <c r="R20" s="250">
        <v>0.80778890000000003</v>
      </c>
      <c r="S20" s="250">
        <v>0.39428580000000002</v>
      </c>
      <c r="T20" s="248">
        <v>0</v>
      </c>
      <c r="U20" s="254">
        <v>1</v>
      </c>
      <c r="V20" s="248">
        <v>796</v>
      </c>
      <c r="W20" s="250">
        <v>0.85804020000000003</v>
      </c>
      <c r="X20" s="250">
        <v>0.34922829999999999</v>
      </c>
      <c r="Y20" s="248">
        <v>0</v>
      </c>
      <c r="Z20" s="254">
        <v>1</v>
      </c>
    </row>
    <row r="21" spans="4:26" x14ac:dyDescent="0.2">
      <c r="D21" s="27" t="s">
        <v>97</v>
      </c>
      <c r="E21" s="253">
        <v>797</v>
      </c>
      <c r="F21" s="250">
        <v>16701.25</v>
      </c>
      <c r="G21" s="250">
        <v>48190.19</v>
      </c>
      <c r="H21" s="248">
        <v>0</v>
      </c>
      <c r="I21" s="254">
        <v>1200000</v>
      </c>
      <c r="J21" s="253">
        <v>797</v>
      </c>
      <c r="K21" s="250">
        <v>16321.23</v>
      </c>
      <c r="L21" s="250">
        <v>20067.47</v>
      </c>
      <c r="M21" s="248">
        <v>0</v>
      </c>
      <c r="N21" s="254">
        <v>216000</v>
      </c>
      <c r="P21" s="27" t="s">
        <v>70</v>
      </c>
      <c r="Q21" s="253">
        <v>797</v>
      </c>
      <c r="R21" s="250">
        <v>0.25846930000000001</v>
      </c>
      <c r="S21" s="250">
        <v>0.43806810000000002</v>
      </c>
      <c r="T21" s="248">
        <v>0</v>
      </c>
      <c r="U21" s="254">
        <v>1</v>
      </c>
      <c r="V21" s="248">
        <v>797</v>
      </c>
      <c r="W21" s="250">
        <v>0.15558340000000001</v>
      </c>
      <c r="X21" s="250">
        <v>0.3626876</v>
      </c>
      <c r="Y21" s="248">
        <v>0</v>
      </c>
      <c r="Z21" s="254">
        <v>1</v>
      </c>
    </row>
    <row r="22" spans="4:26" x14ac:dyDescent="0.2">
      <c r="D22" s="27" t="s">
        <v>98</v>
      </c>
      <c r="E22" s="253">
        <v>797</v>
      </c>
      <c r="F22" s="250">
        <v>7281.9390000000003</v>
      </c>
      <c r="G22" s="250">
        <v>14697.31</v>
      </c>
      <c r="H22" s="248">
        <v>0</v>
      </c>
      <c r="I22" s="254">
        <v>225000</v>
      </c>
      <c r="J22" s="253">
        <v>797</v>
      </c>
      <c r="K22" s="250">
        <v>7298.4709999999995</v>
      </c>
      <c r="L22" s="250">
        <v>9300.4950000000008</v>
      </c>
      <c r="M22" s="248">
        <v>0</v>
      </c>
      <c r="N22" s="254">
        <v>100000</v>
      </c>
      <c r="P22" s="27" t="s">
        <v>71</v>
      </c>
      <c r="Q22" s="253">
        <v>797</v>
      </c>
      <c r="R22" s="250">
        <v>0.1304893</v>
      </c>
      <c r="S22" s="250">
        <v>0.33705249999999998</v>
      </c>
      <c r="T22" s="248">
        <v>0</v>
      </c>
      <c r="U22" s="254">
        <v>1</v>
      </c>
      <c r="V22" s="248">
        <v>797</v>
      </c>
      <c r="W22" s="250">
        <v>0.1016311</v>
      </c>
      <c r="X22" s="250">
        <v>0.30235230000000002</v>
      </c>
      <c r="Y22" s="248">
        <v>0</v>
      </c>
      <c r="Z22" s="254">
        <v>1</v>
      </c>
    </row>
    <row r="23" spans="4:26" x14ac:dyDescent="0.2">
      <c r="D23" s="27" t="s">
        <v>99</v>
      </c>
      <c r="E23" s="253">
        <v>797</v>
      </c>
      <c r="F23" s="250">
        <v>9478.2080000000005</v>
      </c>
      <c r="G23" s="250">
        <v>38668.83</v>
      </c>
      <c r="H23" s="248">
        <v>0</v>
      </c>
      <c r="I23" s="254">
        <v>1050000</v>
      </c>
      <c r="J23" s="253">
        <v>797</v>
      </c>
      <c r="K23" s="250">
        <v>9079.848</v>
      </c>
      <c r="L23" s="250">
        <v>12456.66</v>
      </c>
      <c r="M23" s="248">
        <v>0</v>
      </c>
      <c r="N23" s="254">
        <v>176000</v>
      </c>
      <c r="P23" s="27" t="s">
        <v>72</v>
      </c>
      <c r="Q23" s="253">
        <v>797</v>
      </c>
      <c r="R23" s="250">
        <v>0.41907149999999999</v>
      </c>
      <c r="S23" s="250">
        <v>0.49371690000000001</v>
      </c>
      <c r="T23" s="248">
        <v>0</v>
      </c>
      <c r="U23" s="254">
        <v>1</v>
      </c>
      <c r="V23" s="248">
        <v>797</v>
      </c>
      <c r="W23" s="250">
        <v>0.59723959999999998</v>
      </c>
      <c r="X23" s="250">
        <v>0.49076130000000001</v>
      </c>
      <c r="Y23" s="248">
        <v>0</v>
      </c>
      <c r="Z23" s="254">
        <v>1</v>
      </c>
    </row>
    <row r="24" spans="4:26" x14ac:dyDescent="0.2">
      <c r="D24" s="27" t="s">
        <v>100</v>
      </c>
      <c r="E24" s="253">
        <v>797</v>
      </c>
      <c r="F24" s="250">
        <v>0.880803</v>
      </c>
      <c r="G24" s="250">
        <v>0.3242236</v>
      </c>
      <c r="H24" s="248">
        <v>0</v>
      </c>
      <c r="I24" s="254">
        <v>1</v>
      </c>
      <c r="J24" s="253">
        <v>797</v>
      </c>
      <c r="K24" s="250">
        <v>0.91593480000000005</v>
      </c>
      <c r="L24" s="250">
        <v>0.27765990000000002</v>
      </c>
      <c r="M24" s="248">
        <v>0</v>
      </c>
      <c r="N24" s="254">
        <v>1</v>
      </c>
      <c r="P24" s="27" t="s">
        <v>73</v>
      </c>
      <c r="Q24" s="253">
        <v>796</v>
      </c>
      <c r="R24" s="250">
        <v>0.72110549999999995</v>
      </c>
      <c r="S24" s="250">
        <v>0.44873750000000001</v>
      </c>
      <c r="T24" s="248">
        <v>0</v>
      </c>
      <c r="U24" s="254">
        <v>1</v>
      </c>
      <c r="V24" s="248">
        <v>795</v>
      </c>
      <c r="W24" s="250">
        <v>0.79496860000000003</v>
      </c>
      <c r="X24" s="250">
        <v>0.40397880000000003</v>
      </c>
      <c r="Y24" s="248">
        <v>0</v>
      </c>
      <c r="Z24" s="254">
        <v>1</v>
      </c>
    </row>
    <row r="25" spans="4:26" x14ac:dyDescent="0.2">
      <c r="D25" s="27" t="s">
        <v>101</v>
      </c>
      <c r="E25" s="253">
        <v>797</v>
      </c>
      <c r="F25" s="250">
        <v>33.105400000000003</v>
      </c>
      <c r="G25" s="250">
        <v>78.731970000000004</v>
      </c>
      <c r="H25" s="248">
        <v>0</v>
      </c>
      <c r="I25" s="254">
        <v>1500</v>
      </c>
      <c r="J25" s="253">
        <v>797</v>
      </c>
      <c r="K25" s="250">
        <v>22.134250000000002</v>
      </c>
      <c r="L25" s="250">
        <v>36.260719999999999</v>
      </c>
      <c r="M25" s="248">
        <v>0</v>
      </c>
      <c r="N25" s="254">
        <v>500</v>
      </c>
      <c r="P25" s="27" t="s">
        <v>74</v>
      </c>
      <c r="Q25" s="253">
        <v>797</v>
      </c>
      <c r="R25" s="250">
        <v>0.24341280000000001</v>
      </c>
      <c r="S25" s="250">
        <v>0.42941170000000001</v>
      </c>
      <c r="T25" s="248">
        <v>0</v>
      </c>
      <c r="U25" s="254">
        <v>1</v>
      </c>
      <c r="V25" s="248">
        <v>797</v>
      </c>
      <c r="W25" s="250">
        <v>0.1480552</v>
      </c>
      <c r="X25" s="250">
        <v>0.35537770000000002</v>
      </c>
      <c r="Y25" s="248">
        <v>0</v>
      </c>
      <c r="Z25" s="254">
        <v>1</v>
      </c>
    </row>
    <row r="26" spans="4:26" x14ac:dyDescent="0.2">
      <c r="D26" s="27" t="s">
        <v>102</v>
      </c>
      <c r="E26" s="253">
        <v>797</v>
      </c>
      <c r="F26" s="250">
        <v>2243.2950000000001</v>
      </c>
      <c r="G26" s="250">
        <v>4809.3069999999998</v>
      </c>
      <c r="H26" s="248">
        <v>0</v>
      </c>
      <c r="I26" s="254">
        <v>53000</v>
      </c>
      <c r="J26" s="253">
        <v>797</v>
      </c>
      <c r="K26" s="250">
        <v>1433.962</v>
      </c>
      <c r="L26" s="250">
        <v>3031.2220000000002</v>
      </c>
      <c r="M26" s="248">
        <v>0</v>
      </c>
      <c r="N26" s="254">
        <v>30000</v>
      </c>
      <c r="P26" s="27" t="s">
        <v>75</v>
      </c>
      <c r="Q26" s="253">
        <v>797</v>
      </c>
      <c r="R26" s="250">
        <v>9.2848200000000006E-2</v>
      </c>
      <c r="S26" s="250">
        <v>0.29040179999999999</v>
      </c>
      <c r="T26" s="248">
        <v>0</v>
      </c>
      <c r="U26" s="254">
        <v>1</v>
      </c>
      <c r="V26" s="248">
        <v>797</v>
      </c>
      <c r="W26" s="250">
        <v>0.1091593</v>
      </c>
      <c r="X26" s="250">
        <v>0.3120349</v>
      </c>
      <c r="Y26" s="248">
        <v>0</v>
      </c>
      <c r="Z26" s="254">
        <v>1</v>
      </c>
    </row>
    <row r="27" spans="4:26" x14ac:dyDescent="0.2">
      <c r="D27" s="27" t="s">
        <v>103</v>
      </c>
      <c r="E27" s="253">
        <v>797</v>
      </c>
      <c r="F27" s="250">
        <v>32.006270000000001</v>
      </c>
      <c r="G27" s="250">
        <v>78.983630000000005</v>
      </c>
      <c r="H27" s="248">
        <v>0</v>
      </c>
      <c r="I27" s="254">
        <v>1500</v>
      </c>
      <c r="J27" s="253">
        <v>797</v>
      </c>
      <c r="K27" s="250">
        <v>19.811789999999998</v>
      </c>
      <c r="L27" s="250">
        <v>36.524990000000003</v>
      </c>
      <c r="M27" s="248">
        <v>0</v>
      </c>
      <c r="N27" s="254">
        <v>500</v>
      </c>
      <c r="P27" s="27" t="s">
        <v>76</v>
      </c>
      <c r="Q27" s="253">
        <v>797</v>
      </c>
      <c r="R27" s="250">
        <v>0.38644919999999999</v>
      </c>
      <c r="S27" s="250">
        <v>0.48724129999999999</v>
      </c>
      <c r="T27" s="248">
        <v>0</v>
      </c>
      <c r="U27" s="254">
        <v>1</v>
      </c>
      <c r="V27" s="248">
        <v>797</v>
      </c>
      <c r="W27" s="250">
        <v>0.53450439999999999</v>
      </c>
      <c r="X27" s="250">
        <v>0.49912119999999999</v>
      </c>
      <c r="Y27" s="248">
        <v>0</v>
      </c>
      <c r="Z27" s="254">
        <v>1</v>
      </c>
    </row>
    <row r="28" spans="4:26" x14ac:dyDescent="0.2">
      <c r="D28" s="27" t="s">
        <v>104</v>
      </c>
      <c r="E28" s="253">
        <v>797</v>
      </c>
      <c r="F28" s="250">
        <v>1.0878289999999999</v>
      </c>
      <c r="G28" s="250">
        <v>6.1875879999999999</v>
      </c>
      <c r="H28" s="248">
        <v>0</v>
      </c>
      <c r="I28" s="254">
        <v>100</v>
      </c>
      <c r="J28" s="253">
        <v>797</v>
      </c>
      <c r="K28" s="250">
        <v>2.5357590000000001</v>
      </c>
      <c r="L28" s="250">
        <v>6.4576539999999998</v>
      </c>
      <c r="M28" s="248">
        <v>0</v>
      </c>
      <c r="N28" s="254">
        <v>107</v>
      </c>
      <c r="P28" s="27" t="s">
        <v>77</v>
      </c>
      <c r="Q28" s="253">
        <v>795</v>
      </c>
      <c r="R28" s="250">
        <v>0.50188679999999997</v>
      </c>
      <c r="S28" s="250">
        <v>0.50031119999999996</v>
      </c>
      <c r="T28" s="248">
        <v>0</v>
      </c>
      <c r="U28" s="254">
        <v>1</v>
      </c>
      <c r="V28" s="248">
        <v>795</v>
      </c>
      <c r="W28" s="250">
        <v>0.53962259999999995</v>
      </c>
      <c r="X28" s="250">
        <v>0.4987413</v>
      </c>
      <c r="Y28" s="248">
        <v>0</v>
      </c>
      <c r="Z28" s="254">
        <v>1</v>
      </c>
    </row>
    <row r="29" spans="4:26" x14ac:dyDescent="0.2">
      <c r="D29" s="27" t="s">
        <v>105</v>
      </c>
      <c r="E29" s="253">
        <v>797</v>
      </c>
      <c r="F29" s="250">
        <v>66848.960000000006</v>
      </c>
      <c r="G29" s="250">
        <v>259217.4</v>
      </c>
      <c r="H29" s="248">
        <v>0</v>
      </c>
      <c r="I29" s="254">
        <v>4500000</v>
      </c>
      <c r="J29" s="253">
        <v>797</v>
      </c>
      <c r="K29" s="250">
        <v>39026.080000000002</v>
      </c>
      <c r="L29" s="250">
        <v>196418.8</v>
      </c>
      <c r="M29" s="248">
        <v>0</v>
      </c>
      <c r="N29" s="254">
        <v>3600000</v>
      </c>
      <c r="P29" s="27" t="s">
        <v>78</v>
      </c>
      <c r="Q29" s="253">
        <v>797</v>
      </c>
      <c r="R29" s="250">
        <v>0.28481810000000002</v>
      </c>
      <c r="S29" s="250">
        <v>0.45161119999999999</v>
      </c>
      <c r="T29" s="248">
        <v>0</v>
      </c>
      <c r="U29" s="254">
        <v>1</v>
      </c>
      <c r="V29" s="248">
        <v>797</v>
      </c>
      <c r="W29" s="250">
        <v>0.23086570000000001</v>
      </c>
      <c r="X29" s="250">
        <v>0.42165130000000001</v>
      </c>
      <c r="Y29" s="248">
        <v>0</v>
      </c>
      <c r="Z29" s="254">
        <v>1</v>
      </c>
    </row>
    <row r="30" spans="4:26" x14ac:dyDescent="0.2">
      <c r="D30" s="27" t="s">
        <v>106</v>
      </c>
      <c r="E30" s="253">
        <v>797</v>
      </c>
      <c r="F30" s="250">
        <v>62730.29</v>
      </c>
      <c r="G30" s="250">
        <v>256226.5</v>
      </c>
      <c r="H30" s="248">
        <v>0</v>
      </c>
      <c r="I30" s="254">
        <v>4500000</v>
      </c>
      <c r="J30" s="253">
        <v>797</v>
      </c>
      <c r="K30" s="250">
        <v>31726.79</v>
      </c>
      <c r="L30" s="250">
        <v>151935.79999999999</v>
      </c>
      <c r="M30" s="248">
        <v>0</v>
      </c>
      <c r="N30" s="254">
        <v>3300000</v>
      </c>
      <c r="P30" s="27" t="s">
        <v>79</v>
      </c>
      <c r="Q30" s="253">
        <v>797</v>
      </c>
      <c r="R30" s="250">
        <v>1.88206E-2</v>
      </c>
      <c r="S30" s="250">
        <v>0.13597629999999999</v>
      </c>
      <c r="T30" s="248">
        <v>0</v>
      </c>
      <c r="U30" s="254">
        <v>1</v>
      </c>
      <c r="V30" s="248">
        <v>797</v>
      </c>
      <c r="W30" s="250">
        <v>1.12923E-2</v>
      </c>
      <c r="X30" s="250">
        <v>0.10573009999999999</v>
      </c>
      <c r="Y30" s="248">
        <v>0</v>
      </c>
      <c r="Z30" s="254">
        <v>1</v>
      </c>
    </row>
    <row r="31" spans="4:26" x14ac:dyDescent="0.2">
      <c r="D31" s="27" t="s">
        <v>107</v>
      </c>
      <c r="E31" s="253">
        <v>797</v>
      </c>
      <c r="F31" s="250">
        <v>4000.1089999999999</v>
      </c>
      <c r="G31" s="250">
        <v>44318.05</v>
      </c>
      <c r="H31" s="248">
        <v>0</v>
      </c>
      <c r="I31" s="254">
        <v>1000000</v>
      </c>
      <c r="J31" s="253">
        <v>797</v>
      </c>
      <c r="K31" s="250">
        <v>7811.9650000000001</v>
      </c>
      <c r="L31" s="250">
        <v>114730.9</v>
      </c>
      <c r="M31" s="248">
        <v>0</v>
      </c>
      <c r="N31" s="254">
        <v>3210000</v>
      </c>
      <c r="P31" s="27" t="s">
        <v>80</v>
      </c>
      <c r="Q31" s="253">
        <v>797</v>
      </c>
      <c r="R31" s="250">
        <v>0.19698869999999999</v>
      </c>
      <c r="S31" s="250">
        <v>0.39797349999999998</v>
      </c>
      <c r="T31" s="248">
        <v>0</v>
      </c>
      <c r="U31" s="254">
        <v>1</v>
      </c>
      <c r="V31" s="248">
        <v>797</v>
      </c>
      <c r="W31" s="250">
        <v>0.2948557</v>
      </c>
      <c r="X31" s="250">
        <v>0.45626420000000001</v>
      </c>
      <c r="Y31" s="248">
        <v>0</v>
      </c>
      <c r="Z31" s="254">
        <v>1</v>
      </c>
    </row>
    <row r="32" spans="4:26" x14ac:dyDescent="0.2">
      <c r="D32" s="27" t="s">
        <v>108</v>
      </c>
      <c r="E32" s="253">
        <v>797</v>
      </c>
      <c r="F32" s="250">
        <v>0.2045169</v>
      </c>
      <c r="G32" s="250">
        <v>0.4036015</v>
      </c>
      <c r="H32" s="248">
        <v>0</v>
      </c>
      <c r="I32" s="254">
        <v>1</v>
      </c>
      <c r="J32" s="253">
        <v>797</v>
      </c>
      <c r="K32" s="250">
        <v>0.1606023</v>
      </c>
      <c r="L32" s="250">
        <v>0.3673942</v>
      </c>
      <c r="M32" s="248">
        <v>0</v>
      </c>
      <c r="N32" s="254">
        <v>1</v>
      </c>
      <c r="P32" s="27" t="s">
        <v>81</v>
      </c>
      <c r="Q32" s="253">
        <v>797</v>
      </c>
      <c r="R32" s="250">
        <v>0.2496863</v>
      </c>
      <c r="S32" s="250">
        <v>0.64903529999999998</v>
      </c>
      <c r="T32" s="248">
        <v>0</v>
      </c>
      <c r="U32" s="254">
        <v>4</v>
      </c>
      <c r="V32" s="248">
        <v>797</v>
      </c>
      <c r="W32" s="250">
        <v>0.22961100000000001</v>
      </c>
      <c r="X32" s="250">
        <v>0.63895840000000004</v>
      </c>
      <c r="Y32" s="248">
        <v>0</v>
      </c>
      <c r="Z32" s="254">
        <v>4</v>
      </c>
    </row>
    <row r="33" spans="4:26" x14ac:dyDescent="0.2">
      <c r="D33" s="27" t="s">
        <v>109</v>
      </c>
      <c r="E33" s="253">
        <v>797</v>
      </c>
      <c r="F33" s="250">
        <v>3.8782939999999999</v>
      </c>
      <c r="G33" s="250">
        <v>25.991479999999999</v>
      </c>
      <c r="H33" s="248">
        <v>0</v>
      </c>
      <c r="I33" s="254">
        <v>500</v>
      </c>
      <c r="J33" s="253">
        <v>797</v>
      </c>
      <c r="K33" s="250">
        <v>9.7716440000000002</v>
      </c>
      <c r="L33" s="250">
        <v>248.12110000000001</v>
      </c>
      <c r="M33" s="248">
        <v>0</v>
      </c>
      <c r="N33" s="254">
        <v>7005</v>
      </c>
      <c r="P33" s="27" t="s">
        <v>82</v>
      </c>
      <c r="Q33" s="253">
        <v>797</v>
      </c>
      <c r="R33" s="250">
        <v>1.110414</v>
      </c>
      <c r="S33" s="250">
        <v>1.5279160000000001</v>
      </c>
      <c r="T33" s="248">
        <v>0</v>
      </c>
      <c r="U33" s="254">
        <v>4</v>
      </c>
      <c r="V33" s="248">
        <v>797</v>
      </c>
      <c r="W33" s="250">
        <v>0.78544539999999996</v>
      </c>
      <c r="X33" s="250">
        <v>1.337661</v>
      </c>
      <c r="Y33" s="248">
        <v>0</v>
      </c>
      <c r="Z33" s="254">
        <v>4</v>
      </c>
    </row>
    <row r="34" spans="4:26" ht="16" thickBot="1" x14ac:dyDescent="0.25">
      <c r="D34" s="27" t="s">
        <v>110</v>
      </c>
      <c r="E34" s="253">
        <v>797</v>
      </c>
      <c r="F34" s="250">
        <v>1521.769</v>
      </c>
      <c r="G34" s="250">
        <v>7943.701</v>
      </c>
      <c r="H34" s="248">
        <v>0</v>
      </c>
      <c r="I34" s="254">
        <v>100000</v>
      </c>
      <c r="J34" s="253">
        <v>797</v>
      </c>
      <c r="K34" s="250">
        <v>2075.721</v>
      </c>
      <c r="L34" s="250">
        <v>12698.4</v>
      </c>
      <c r="M34" s="248">
        <v>0</v>
      </c>
      <c r="N34" s="254">
        <v>300000</v>
      </c>
      <c r="P34" s="186" t="s">
        <v>83</v>
      </c>
      <c r="Q34" s="257">
        <v>797</v>
      </c>
      <c r="R34" s="258">
        <v>1.173149</v>
      </c>
      <c r="S34" s="258">
        <v>1.469158</v>
      </c>
      <c r="T34" s="259">
        <v>0</v>
      </c>
      <c r="U34" s="263">
        <v>4</v>
      </c>
      <c r="V34" s="259">
        <v>797</v>
      </c>
      <c r="W34" s="258">
        <v>1.7176910000000001</v>
      </c>
      <c r="X34" s="258">
        <v>1.562549</v>
      </c>
      <c r="Y34" s="259">
        <v>0</v>
      </c>
      <c r="Z34" s="263">
        <v>4</v>
      </c>
    </row>
    <row r="35" spans="4:26" x14ac:dyDescent="0.2">
      <c r="D35" s="27" t="s">
        <v>111</v>
      </c>
      <c r="E35" s="253">
        <v>797</v>
      </c>
      <c r="F35" s="250">
        <v>3.5018820000000002</v>
      </c>
      <c r="G35" s="250">
        <v>24.600660000000001</v>
      </c>
      <c r="H35" s="248">
        <v>0</v>
      </c>
      <c r="I35" s="254">
        <v>500</v>
      </c>
      <c r="J35" s="253">
        <v>797</v>
      </c>
      <c r="K35" s="250">
        <v>9.6185700000000001</v>
      </c>
      <c r="L35" s="250">
        <v>247.9436</v>
      </c>
      <c r="M35" s="248">
        <v>0</v>
      </c>
      <c r="N35" s="254">
        <v>7000</v>
      </c>
    </row>
    <row r="36" spans="4:26" x14ac:dyDescent="0.2">
      <c r="D36" s="27" t="s">
        <v>112</v>
      </c>
      <c r="E36" s="253">
        <v>797</v>
      </c>
      <c r="F36" s="250">
        <v>0.34880800000000001</v>
      </c>
      <c r="G36" s="250">
        <v>2.3071419999999998</v>
      </c>
      <c r="H36" s="248">
        <v>0</v>
      </c>
      <c r="I36" s="254">
        <v>50</v>
      </c>
      <c r="J36" s="253">
        <v>797</v>
      </c>
      <c r="K36" s="250">
        <v>0.15307399999999999</v>
      </c>
      <c r="L36" s="250">
        <v>1.0863039999999999</v>
      </c>
      <c r="M36" s="248">
        <v>0</v>
      </c>
      <c r="N36" s="254">
        <v>20</v>
      </c>
    </row>
    <row r="37" spans="4:26" x14ac:dyDescent="0.2">
      <c r="D37" s="27" t="s">
        <v>113</v>
      </c>
      <c r="E37" s="253">
        <v>797</v>
      </c>
      <c r="F37" s="250">
        <v>13818.7</v>
      </c>
      <c r="G37" s="250">
        <v>140447.70000000001</v>
      </c>
      <c r="H37" s="248">
        <v>0</v>
      </c>
      <c r="I37" s="254">
        <v>3500000</v>
      </c>
      <c r="J37" s="253">
        <v>797</v>
      </c>
      <c r="K37" s="250">
        <v>41115.5</v>
      </c>
      <c r="L37" s="250">
        <v>774202.4</v>
      </c>
      <c r="M37" s="248">
        <v>0</v>
      </c>
      <c r="N37" s="256">
        <v>21000000</v>
      </c>
    </row>
    <row r="38" spans="4:26" x14ac:dyDescent="0.2">
      <c r="D38" s="27" t="s">
        <v>114</v>
      </c>
      <c r="E38" s="253">
        <v>797</v>
      </c>
      <c r="F38" s="250">
        <v>12683.06</v>
      </c>
      <c r="G38" s="250">
        <v>137081.5</v>
      </c>
      <c r="H38" s="248">
        <v>0</v>
      </c>
      <c r="I38" s="254">
        <v>3500000</v>
      </c>
      <c r="J38" s="253">
        <v>797</v>
      </c>
      <c r="K38" s="250">
        <v>39952.89</v>
      </c>
      <c r="L38" s="250">
        <v>773585.3</v>
      </c>
      <c r="M38" s="248">
        <v>0</v>
      </c>
      <c r="N38" s="256">
        <v>21000000</v>
      </c>
    </row>
    <row r="39" spans="4:26" x14ac:dyDescent="0.2">
      <c r="D39" s="27" t="s">
        <v>115</v>
      </c>
      <c r="E39" s="253">
        <v>797</v>
      </c>
      <c r="F39" s="250">
        <v>1095.4829999999999</v>
      </c>
      <c r="G39" s="250">
        <v>9365.8220000000001</v>
      </c>
      <c r="H39" s="248">
        <v>0</v>
      </c>
      <c r="I39" s="254">
        <v>200000</v>
      </c>
      <c r="J39" s="253">
        <v>797</v>
      </c>
      <c r="K39" s="250">
        <v>1162.6099999999999</v>
      </c>
      <c r="L39" s="250">
        <v>8188.8029999999999</v>
      </c>
      <c r="M39" s="248">
        <v>0</v>
      </c>
      <c r="N39" s="254">
        <v>100000</v>
      </c>
    </row>
    <row r="40" spans="4:26" x14ac:dyDescent="0.2">
      <c r="D40" s="27" t="s">
        <v>116</v>
      </c>
      <c r="E40" s="253">
        <v>797</v>
      </c>
      <c r="F40" s="250">
        <v>0.65872019999999998</v>
      </c>
      <c r="G40" s="250">
        <v>0.47443679999999999</v>
      </c>
      <c r="H40" s="248">
        <v>0</v>
      </c>
      <c r="I40" s="254">
        <v>1</v>
      </c>
      <c r="J40" s="253">
        <v>797</v>
      </c>
      <c r="K40" s="250">
        <v>0.66373899999999997</v>
      </c>
      <c r="L40" s="250">
        <v>0.47272609999999998</v>
      </c>
      <c r="M40" s="248">
        <v>0</v>
      </c>
      <c r="N40" s="254">
        <v>1</v>
      </c>
    </row>
    <row r="41" spans="4:26" x14ac:dyDescent="0.2">
      <c r="D41" s="27" t="s">
        <v>117</v>
      </c>
      <c r="E41" s="253">
        <v>797</v>
      </c>
      <c r="F41" s="250">
        <v>0.89209539999999998</v>
      </c>
      <c r="G41" s="250">
        <v>0.87878409999999996</v>
      </c>
      <c r="H41" s="248">
        <v>0</v>
      </c>
      <c r="I41" s="254">
        <v>6</v>
      </c>
      <c r="J41" s="253">
        <v>797</v>
      </c>
      <c r="K41" s="250">
        <v>0.9134253</v>
      </c>
      <c r="L41" s="250">
        <v>0.91540849999999996</v>
      </c>
      <c r="M41" s="248">
        <v>0</v>
      </c>
      <c r="N41" s="254">
        <v>9</v>
      </c>
    </row>
    <row r="42" spans="4:26" x14ac:dyDescent="0.2">
      <c r="D42" s="27" t="s">
        <v>118</v>
      </c>
      <c r="E42" s="253">
        <v>797</v>
      </c>
      <c r="F42" s="250">
        <v>36022.29</v>
      </c>
      <c r="G42" s="250">
        <v>44742.37</v>
      </c>
      <c r="H42" s="248">
        <v>0</v>
      </c>
      <c r="I42" s="254">
        <v>700000</v>
      </c>
      <c r="J42" s="253">
        <v>797</v>
      </c>
      <c r="K42" s="250">
        <v>35516.93</v>
      </c>
      <c r="L42" s="250">
        <v>34863.4</v>
      </c>
      <c r="M42" s="248">
        <v>0</v>
      </c>
      <c r="N42" s="254">
        <v>180000</v>
      </c>
    </row>
    <row r="43" spans="4:26" x14ac:dyDescent="0.2">
      <c r="D43" s="27" t="s">
        <v>119</v>
      </c>
      <c r="E43" s="253">
        <v>797</v>
      </c>
      <c r="F43" s="250">
        <v>0.1166876</v>
      </c>
      <c r="G43" s="250">
        <v>0.35114319999999999</v>
      </c>
      <c r="H43" s="248">
        <v>0</v>
      </c>
      <c r="I43" s="254">
        <v>2</v>
      </c>
      <c r="J43" s="253">
        <v>797</v>
      </c>
      <c r="K43" s="250">
        <v>9.7866999999999996E-2</v>
      </c>
      <c r="L43" s="250">
        <v>0.32555780000000001</v>
      </c>
      <c r="M43" s="248">
        <v>0</v>
      </c>
      <c r="N43" s="254">
        <v>3</v>
      </c>
    </row>
    <row r="44" spans="4:26" x14ac:dyDescent="0.2">
      <c r="D44" s="27" t="s">
        <v>120</v>
      </c>
      <c r="E44" s="253">
        <v>797</v>
      </c>
      <c r="F44" s="250">
        <v>0.7641154</v>
      </c>
      <c r="G44" s="250">
        <v>0.76975959999999999</v>
      </c>
      <c r="H44" s="248">
        <v>0</v>
      </c>
      <c r="I44" s="254">
        <v>6</v>
      </c>
      <c r="J44" s="253">
        <v>797</v>
      </c>
      <c r="K44" s="250">
        <v>0.81430360000000002</v>
      </c>
      <c r="L44" s="250">
        <v>0.82860069999999997</v>
      </c>
      <c r="M44" s="248">
        <v>0</v>
      </c>
      <c r="N44" s="254">
        <v>9</v>
      </c>
    </row>
    <row r="45" spans="4:26" x14ac:dyDescent="0.2">
      <c r="D45" s="27" t="s">
        <v>121</v>
      </c>
      <c r="E45" s="253">
        <v>797</v>
      </c>
      <c r="F45" s="250">
        <v>51171.93</v>
      </c>
      <c r="G45" s="250">
        <v>86101.36</v>
      </c>
      <c r="H45" s="248">
        <v>0</v>
      </c>
      <c r="I45" s="254">
        <v>1400000</v>
      </c>
      <c r="J45" s="253">
        <v>797</v>
      </c>
      <c r="K45" s="250">
        <v>51014.21</v>
      </c>
      <c r="L45" s="250">
        <v>66476.84</v>
      </c>
      <c r="M45" s="248">
        <v>0</v>
      </c>
      <c r="N45" s="254">
        <v>480000</v>
      </c>
    </row>
    <row r="46" spans="4:26" x14ac:dyDescent="0.2">
      <c r="D46" s="27" t="s">
        <v>122</v>
      </c>
      <c r="E46" s="253">
        <v>797</v>
      </c>
      <c r="F46" s="250">
        <v>6171.4930000000004</v>
      </c>
      <c r="G46" s="250">
        <v>21110.05</v>
      </c>
      <c r="H46" s="248">
        <v>0</v>
      </c>
      <c r="I46" s="254">
        <v>180000</v>
      </c>
      <c r="J46" s="253">
        <v>797</v>
      </c>
      <c r="K46" s="250">
        <v>6206.7250000000004</v>
      </c>
      <c r="L46" s="250">
        <v>24626.720000000001</v>
      </c>
      <c r="M46" s="248">
        <v>0</v>
      </c>
      <c r="N46" s="254">
        <v>360000</v>
      </c>
    </row>
    <row r="47" spans="4:26" x14ac:dyDescent="0.2">
      <c r="D47" s="27" t="s">
        <v>123</v>
      </c>
      <c r="E47" s="253">
        <v>797</v>
      </c>
      <c r="F47" s="250">
        <v>44449.62</v>
      </c>
      <c r="G47" s="250">
        <v>81580.7</v>
      </c>
      <c r="H47" s="248">
        <v>0</v>
      </c>
      <c r="I47" s="254">
        <v>1400000</v>
      </c>
      <c r="J47" s="253">
        <v>797</v>
      </c>
      <c r="K47" s="250">
        <v>44794.94</v>
      </c>
      <c r="L47" s="250">
        <v>56761.72</v>
      </c>
      <c r="M47" s="248">
        <v>0</v>
      </c>
      <c r="N47" s="254">
        <v>405000</v>
      </c>
    </row>
    <row r="48" spans="4:26" x14ac:dyDescent="0.2">
      <c r="D48" s="27" t="s">
        <v>124</v>
      </c>
      <c r="E48" s="253">
        <v>797</v>
      </c>
      <c r="F48" s="250">
        <v>0.83688830000000003</v>
      </c>
      <c r="G48" s="250">
        <v>0.36969950000000001</v>
      </c>
      <c r="H48" s="248">
        <v>0</v>
      </c>
      <c r="I48" s="254">
        <v>1</v>
      </c>
      <c r="J48" s="253">
        <v>797</v>
      </c>
      <c r="K48" s="250">
        <v>0.86323709999999998</v>
      </c>
      <c r="L48" s="250">
        <v>0.34381260000000002</v>
      </c>
      <c r="M48" s="248">
        <v>0</v>
      </c>
      <c r="N48" s="254">
        <v>1</v>
      </c>
    </row>
    <row r="49" spans="4:14" x14ac:dyDescent="0.2">
      <c r="D49" s="27" t="s">
        <v>125</v>
      </c>
      <c r="E49" s="253">
        <v>797</v>
      </c>
      <c r="F49" s="250">
        <v>3.1819320000000002</v>
      </c>
      <c r="G49" s="250">
        <v>53.097880000000004</v>
      </c>
      <c r="H49" s="248">
        <v>0</v>
      </c>
      <c r="I49" s="254">
        <v>1500</v>
      </c>
      <c r="J49" s="253">
        <v>797</v>
      </c>
      <c r="K49" s="250">
        <v>1.3889590000000001</v>
      </c>
      <c r="L49" s="250">
        <v>1.1227560000000001</v>
      </c>
      <c r="M49" s="248">
        <v>0</v>
      </c>
      <c r="N49" s="254">
        <v>10</v>
      </c>
    </row>
    <row r="50" spans="4:14" x14ac:dyDescent="0.2">
      <c r="D50" s="27" t="s">
        <v>126</v>
      </c>
      <c r="E50" s="253">
        <v>797</v>
      </c>
      <c r="F50" s="250">
        <v>2270.547</v>
      </c>
      <c r="G50" s="250">
        <v>4073.7170000000001</v>
      </c>
      <c r="H50" s="248">
        <v>0</v>
      </c>
      <c r="I50" s="254">
        <v>50000</v>
      </c>
      <c r="J50" s="253">
        <v>797</v>
      </c>
      <c r="K50" s="250">
        <v>2420.2280000000001</v>
      </c>
      <c r="L50" s="250">
        <v>3941.5720000000001</v>
      </c>
      <c r="M50" s="248">
        <v>0</v>
      </c>
      <c r="N50" s="254">
        <v>50000</v>
      </c>
    </row>
    <row r="51" spans="4:14" x14ac:dyDescent="0.2">
      <c r="D51" s="27" t="s">
        <v>127</v>
      </c>
      <c r="E51" s="253">
        <v>797</v>
      </c>
      <c r="F51" s="250">
        <v>0.20200750000000001</v>
      </c>
      <c r="G51" s="250">
        <v>0.63846230000000004</v>
      </c>
      <c r="H51" s="248">
        <v>0</v>
      </c>
      <c r="I51" s="254">
        <v>10</v>
      </c>
      <c r="J51" s="253">
        <v>797</v>
      </c>
      <c r="K51" s="250">
        <v>0.19824339999999999</v>
      </c>
      <c r="L51" s="250">
        <v>0.50459889999999996</v>
      </c>
      <c r="M51" s="248">
        <v>0</v>
      </c>
      <c r="N51" s="254">
        <v>4</v>
      </c>
    </row>
    <row r="52" spans="4:14" x14ac:dyDescent="0.2">
      <c r="D52" s="27" t="s">
        <v>128</v>
      </c>
      <c r="E52" s="253">
        <v>797</v>
      </c>
      <c r="F52" s="250">
        <v>1.0966119999999999</v>
      </c>
      <c r="G52" s="250">
        <v>0.84885440000000001</v>
      </c>
      <c r="H52" s="248">
        <v>0</v>
      </c>
      <c r="I52" s="254">
        <v>6</v>
      </c>
      <c r="J52" s="253">
        <v>797</v>
      </c>
      <c r="K52" s="250">
        <v>1.19197</v>
      </c>
      <c r="L52" s="250">
        <v>0.98073699999999997</v>
      </c>
      <c r="M52" s="248">
        <v>0</v>
      </c>
      <c r="N52" s="254">
        <v>11</v>
      </c>
    </row>
    <row r="53" spans="4:14" x14ac:dyDescent="0.2">
      <c r="D53" s="27" t="s">
        <v>129</v>
      </c>
      <c r="E53" s="253">
        <v>797</v>
      </c>
      <c r="F53" s="250">
        <v>9290.5319999999992</v>
      </c>
      <c r="G53" s="250">
        <v>159443.6</v>
      </c>
      <c r="H53" s="248">
        <v>0</v>
      </c>
      <c r="I53" s="254">
        <v>4500000</v>
      </c>
      <c r="J53" s="253">
        <v>797</v>
      </c>
      <c r="K53" s="250">
        <v>4394.57</v>
      </c>
      <c r="L53" s="250">
        <v>10158.030000000001</v>
      </c>
      <c r="M53" s="248">
        <v>0</v>
      </c>
      <c r="N53" s="254">
        <v>180000</v>
      </c>
    </row>
    <row r="54" spans="4:14" x14ac:dyDescent="0.2">
      <c r="D54" s="27" t="s">
        <v>130</v>
      </c>
      <c r="E54" s="253">
        <v>797</v>
      </c>
      <c r="F54" s="250">
        <v>491.19569999999999</v>
      </c>
      <c r="G54" s="250">
        <v>2423.6799999999998</v>
      </c>
      <c r="H54" s="248">
        <v>0</v>
      </c>
      <c r="I54" s="254">
        <v>45000</v>
      </c>
      <c r="J54" s="253">
        <v>797</v>
      </c>
      <c r="K54" s="250">
        <v>610.12800000000004</v>
      </c>
      <c r="L54" s="250">
        <v>2491.1559999999999</v>
      </c>
      <c r="M54" s="248">
        <v>0</v>
      </c>
      <c r="N54" s="254">
        <v>50000</v>
      </c>
    </row>
    <row r="55" spans="4:14" x14ac:dyDescent="0.2">
      <c r="D55" s="27" t="s">
        <v>131</v>
      </c>
      <c r="E55" s="253">
        <v>797</v>
      </c>
      <c r="F55" s="250">
        <v>3152.2849999999999</v>
      </c>
      <c r="G55" s="250">
        <v>6687.6639999999998</v>
      </c>
      <c r="H55" s="248">
        <v>0</v>
      </c>
      <c r="I55" s="254">
        <v>75000</v>
      </c>
      <c r="J55" s="253">
        <v>797</v>
      </c>
      <c r="K55" s="250">
        <v>3802.5720000000001</v>
      </c>
      <c r="L55" s="250">
        <v>9307.1419999999998</v>
      </c>
      <c r="M55" s="248">
        <v>0</v>
      </c>
      <c r="N55" s="254">
        <v>180000</v>
      </c>
    </row>
    <row r="56" spans="4:14" x14ac:dyDescent="0.2">
      <c r="D56" s="261" t="s">
        <v>132</v>
      </c>
      <c r="E56" s="253">
        <v>797</v>
      </c>
      <c r="F56" s="250">
        <v>5285958</v>
      </c>
      <c r="G56" s="250">
        <v>45200000</v>
      </c>
      <c r="H56" s="248">
        <v>0</v>
      </c>
      <c r="I56" s="256">
        <v>1200000000</v>
      </c>
      <c r="J56" s="253">
        <v>797</v>
      </c>
      <c r="K56" s="250">
        <v>105000000</v>
      </c>
      <c r="L56" s="250">
        <v>701000000</v>
      </c>
      <c r="M56" s="248">
        <v>90</v>
      </c>
      <c r="N56" s="256">
        <v>12000000000</v>
      </c>
    </row>
    <row r="57" spans="4:14" x14ac:dyDescent="0.2">
      <c r="D57" s="27" t="s">
        <v>133</v>
      </c>
      <c r="E57" s="253">
        <v>797</v>
      </c>
      <c r="F57" s="250">
        <v>187677.2</v>
      </c>
      <c r="G57" s="250">
        <v>632239.30000000005</v>
      </c>
      <c r="H57" s="248">
        <v>0</v>
      </c>
      <c r="I57" s="256">
        <v>10000000</v>
      </c>
      <c r="J57" s="253">
        <v>797</v>
      </c>
      <c r="K57" s="250">
        <v>4173608</v>
      </c>
      <c r="L57" s="250">
        <v>106000000</v>
      </c>
      <c r="M57" s="248">
        <v>0</v>
      </c>
      <c r="N57" s="256">
        <v>3000000000</v>
      </c>
    </row>
    <row r="58" spans="4:14" ht="16" thickBot="1" x14ac:dyDescent="0.25">
      <c r="D58" s="186" t="s">
        <v>134</v>
      </c>
      <c r="E58" s="257">
        <v>797</v>
      </c>
      <c r="F58" s="258">
        <v>5094575</v>
      </c>
      <c r="G58" s="258">
        <v>45200000</v>
      </c>
      <c r="H58" s="259">
        <v>0</v>
      </c>
      <c r="I58" s="260">
        <v>1200000000</v>
      </c>
      <c r="J58" s="257">
        <v>797</v>
      </c>
      <c r="K58" s="258">
        <v>101000000</v>
      </c>
      <c r="L58" s="258">
        <v>677000000</v>
      </c>
      <c r="M58" s="259">
        <v>0</v>
      </c>
      <c r="N58" s="260">
        <v>12000000000</v>
      </c>
    </row>
    <row r="59" spans="4:14" ht="16" thickBot="1" x14ac:dyDescent="0.25"/>
    <row r="60" spans="4:14" ht="16" thickBot="1" x14ac:dyDescent="0.25">
      <c r="D60" s="342" t="s">
        <v>787</v>
      </c>
      <c r="E60" s="343"/>
      <c r="F60" s="343"/>
      <c r="G60" s="343"/>
      <c r="H60" s="343"/>
      <c r="I60" s="343"/>
      <c r="J60" s="343"/>
      <c r="K60" s="343"/>
      <c r="L60" s="343"/>
      <c r="M60" s="343"/>
      <c r="N60" s="344"/>
    </row>
    <row r="61" spans="4:14" x14ac:dyDescent="0.2">
      <c r="D61" s="262"/>
      <c r="E61" s="345" t="s">
        <v>785</v>
      </c>
      <c r="F61" s="346"/>
      <c r="G61" s="346"/>
      <c r="H61" s="346"/>
      <c r="I61" s="347"/>
      <c r="J61" s="345" t="s">
        <v>786</v>
      </c>
      <c r="K61" s="346"/>
      <c r="L61" s="346"/>
      <c r="M61" s="346"/>
      <c r="N61" s="347"/>
    </row>
    <row r="62" spans="4:14" ht="16" x14ac:dyDescent="0.2">
      <c r="D62" s="253" t="s">
        <v>297</v>
      </c>
      <c r="E62" s="253" t="s">
        <v>783</v>
      </c>
      <c r="F62" s="248" t="s">
        <v>304</v>
      </c>
      <c r="G62" s="248" t="s">
        <v>784</v>
      </c>
      <c r="H62" s="248" t="s">
        <v>307</v>
      </c>
      <c r="I62" s="254" t="s">
        <v>308</v>
      </c>
      <c r="J62" s="253" t="s">
        <v>783</v>
      </c>
      <c r="K62" s="248" t="s">
        <v>304</v>
      </c>
      <c r="L62" s="248" t="s">
        <v>784</v>
      </c>
      <c r="M62" s="248" t="s">
        <v>307</v>
      </c>
      <c r="N62" s="254" t="s">
        <v>308</v>
      </c>
    </row>
    <row r="63" spans="4:14" x14ac:dyDescent="0.2">
      <c r="D63" s="27" t="s">
        <v>135</v>
      </c>
      <c r="E63" s="253">
        <v>797</v>
      </c>
      <c r="F63" s="250">
        <v>0.97114180000000005</v>
      </c>
      <c r="G63" s="250">
        <v>0.1675131</v>
      </c>
      <c r="H63" s="248">
        <v>0</v>
      </c>
      <c r="I63" s="254">
        <v>1</v>
      </c>
      <c r="J63" s="253">
        <v>797</v>
      </c>
      <c r="K63" s="250">
        <v>0.96737770000000001</v>
      </c>
      <c r="L63" s="250">
        <v>0.17775759999999999</v>
      </c>
      <c r="M63" s="248">
        <v>0</v>
      </c>
      <c r="N63" s="254">
        <v>1</v>
      </c>
    </row>
    <row r="64" spans="4:14" x14ac:dyDescent="0.2">
      <c r="D64" s="27" t="s">
        <v>136</v>
      </c>
      <c r="E64" s="253">
        <v>797</v>
      </c>
      <c r="F64" s="250">
        <v>4.5734000000000004</v>
      </c>
      <c r="G64" s="250">
        <v>3.6424620000000001</v>
      </c>
      <c r="H64" s="248">
        <v>0</v>
      </c>
      <c r="I64" s="254">
        <v>35</v>
      </c>
      <c r="J64" s="253">
        <v>797</v>
      </c>
      <c r="K64" s="250">
        <v>4.8168129999999998</v>
      </c>
      <c r="L64" s="250">
        <v>4.1870909999999997</v>
      </c>
      <c r="M64" s="248">
        <v>0</v>
      </c>
      <c r="N64" s="254">
        <v>50</v>
      </c>
    </row>
    <row r="65" spans="4:14" x14ac:dyDescent="0.2">
      <c r="D65" s="27" t="s">
        <v>137</v>
      </c>
      <c r="E65" s="253">
        <v>797</v>
      </c>
      <c r="F65" s="250">
        <v>718.44669999999996</v>
      </c>
      <c r="G65" s="250">
        <v>607.29750000000001</v>
      </c>
      <c r="H65" s="248">
        <v>0</v>
      </c>
      <c r="I65" s="254">
        <v>9375</v>
      </c>
      <c r="J65" s="253">
        <v>797</v>
      </c>
      <c r="K65" s="250">
        <v>828.8356</v>
      </c>
      <c r="L65" s="250">
        <v>635.44780000000003</v>
      </c>
      <c r="M65" s="248">
        <v>0</v>
      </c>
      <c r="N65" s="254">
        <v>8000</v>
      </c>
    </row>
    <row r="66" spans="4:14" x14ac:dyDescent="0.2">
      <c r="D66" s="27" t="s">
        <v>138</v>
      </c>
      <c r="E66" s="253">
        <v>797</v>
      </c>
      <c r="F66" s="250">
        <v>1.570891</v>
      </c>
      <c r="G66" s="250">
        <v>2.1334979999999999</v>
      </c>
      <c r="H66" s="248">
        <v>0</v>
      </c>
      <c r="I66" s="254">
        <v>15</v>
      </c>
      <c r="J66" s="253">
        <v>797</v>
      </c>
      <c r="K66" s="250">
        <v>1.3550819999999999</v>
      </c>
      <c r="L66" s="250">
        <v>2.0001609999999999</v>
      </c>
      <c r="M66" s="248">
        <v>0</v>
      </c>
      <c r="N66" s="254">
        <v>15</v>
      </c>
    </row>
    <row r="67" spans="4:14" x14ac:dyDescent="0.2">
      <c r="D67" s="27" t="s">
        <v>139</v>
      </c>
      <c r="E67" s="253">
        <v>797</v>
      </c>
      <c r="F67" s="250">
        <v>2.9912169999999998</v>
      </c>
      <c r="G67" s="250">
        <v>2.9469639999999999</v>
      </c>
      <c r="H67" s="248">
        <v>0</v>
      </c>
      <c r="I67" s="254">
        <v>25</v>
      </c>
      <c r="J67" s="253">
        <v>797</v>
      </c>
      <c r="K67" s="250">
        <v>3.4629859999999999</v>
      </c>
      <c r="L67" s="250">
        <v>3.6885940000000002</v>
      </c>
      <c r="M67" s="248">
        <v>0</v>
      </c>
      <c r="N67" s="254">
        <v>50</v>
      </c>
    </row>
    <row r="68" spans="4:14" x14ac:dyDescent="0.2">
      <c r="D68" s="27" t="s">
        <v>140</v>
      </c>
      <c r="E68" s="253">
        <v>797</v>
      </c>
      <c r="F68" s="250">
        <v>3289.9560000000001</v>
      </c>
      <c r="G68" s="250">
        <v>4363.79</v>
      </c>
      <c r="H68" s="248">
        <v>0</v>
      </c>
      <c r="I68" s="254">
        <v>75000</v>
      </c>
      <c r="J68" s="253">
        <v>797</v>
      </c>
      <c r="K68" s="250">
        <v>3965.3649999999998</v>
      </c>
      <c r="L68" s="250">
        <v>4945.4459999999999</v>
      </c>
      <c r="M68" s="248">
        <v>0</v>
      </c>
      <c r="N68" s="254">
        <v>75000</v>
      </c>
    </row>
    <row r="69" spans="4:14" x14ac:dyDescent="0.2">
      <c r="D69" s="27" t="s">
        <v>141</v>
      </c>
      <c r="E69" s="253">
        <v>797</v>
      </c>
      <c r="F69" s="250">
        <v>2182.4650000000001</v>
      </c>
      <c r="G69" s="250">
        <v>2979.3969999999999</v>
      </c>
      <c r="H69" s="248">
        <v>0</v>
      </c>
      <c r="I69" s="254">
        <v>46875</v>
      </c>
      <c r="J69" s="253">
        <v>797</v>
      </c>
      <c r="K69" s="250">
        <v>2998.8420000000001</v>
      </c>
      <c r="L69" s="250">
        <v>4557.3630000000003</v>
      </c>
      <c r="M69" s="248">
        <v>0</v>
      </c>
      <c r="N69" s="254">
        <v>75000</v>
      </c>
    </row>
    <row r="70" spans="4:14" x14ac:dyDescent="0.2">
      <c r="D70" s="27" t="s">
        <v>142</v>
      </c>
      <c r="E70" s="253">
        <v>797</v>
      </c>
      <c r="F70" s="250">
        <v>1104.73</v>
      </c>
      <c r="G70" s="250">
        <v>2075.9960000000001</v>
      </c>
      <c r="H70" s="248">
        <v>0</v>
      </c>
      <c r="I70" s="254">
        <v>28125</v>
      </c>
      <c r="J70" s="253">
        <v>797</v>
      </c>
      <c r="K70" s="250">
        <v>962.19449999999995</v>
      </c>
      <c r="L70" s="250">
        <v>1574.461</v>
      </c>
      <c r="M70" s="248">
        <v>0</v>
      </c>
      <c r="N70" s="254">
        <v>15000</v>
      </c>
    </row>
    <row r="71" spans="4:14" x14ac:dyDescent="0.2">
      <c r="D71" s="27" t="s">
        <v>143</v>
      </c>
      <c r="E71" s="253">
        <v>797</v>
      </c>
      <c r="F71" s="250">
        <v>0.62233380000000005</v>
      </c>
      <c r="G71" s="250">
        <v>0.48510789999999998</v>
      </c>
      <c r="H71" s="248">
        <v>0</v>
      </c>
      <c r="I71" s="254">
        <v>1</v>
      </c>
      <c r="J71" s="253">
        <v>797</v>
      </c>
      <c r="K71" s="250">
        <v>0.60476790000000002</v>
      </c>
      <c r="L71" s="250">
        <v>0.48920750000000002</v>
      </c>
      <c r="M71" s="248">
        <v>0</v>
      </c>
      <c r="N71" s="254">
        <v>1</v>
      </c>
    </row>
    <row r="72" spans="4:14" x14ac:dyDescent="0.2">
      <c r="D72" s="27" t="s">
        <v>144</v>
      </c>
      <c r="E72" s="253">
        <v>797</v>
      </c>
      <c r="F72" s="250">
        <v>1.4366369999999999</v>
      </c>
      <c r="G72" s="250">
        <v>2.1803279999999998</v>
      </c>
      <c r="H72" s="248">
        <v>0</v>
      </c>
      <c r="I72" s="254">
        <v>30</v>
      </c>
      <c r="J72" s="253">
        <v>797</v>
      </c>
      <c r="K72" s="250">
        <v>1.385194</v>
      </c>
      <c r="L72" s="250">
        <v>1.8582780000000001</v>
      </c>
      <c r="M72" s="248">
        <v>0</v>
      </c>
      <c r="N72" s="254">
        <v>17</v>
      </c>
    </row>
    <row r="73" spans="4:14" x14ac:dyDescent="0.2">
      <c r="D73" s="27" t="s">
        <v>145</v>
      </c>
      <c r="E73" s="253">
        <v>797</v>
      </c>
      <c r="F73" s="250">
        <v>698.52449999999999</v>
      </c>
      <c r="G73" s="250">
        <v>811.64739999999995</v>
      </c>
      <c r="H73" s="248">
        <v>0</v>
      </c>
      <c r="I73" s="254">
        <v>12000</v>
      </c>
      <c r="J73" s="253">
        <v>797</v>
      </c>
      <c r="K73" s="250">
        <v>664.93979999999999</v>
      </c>
      <c r="L73" s="250">
        <v>723.62480000000005</v>
      </c>
      <c r="M73" s="248">
        <v>0</v>
      </c>
      <c r="N73" s="254">
        <v>8000</v>
      </c>
    </row>
    <row r="74" spans="4:14" x14ac:dyDescent="0.2">
      <c r="D74" s="27" t="s">
        <v>146</v>
      </c>
      <c r="E74" s="253">
        <v>797</v>
      </c>
      <c r="F74" s="250">
        <v>0.18444169999999999</v>
      </c>
      <c r="G74" s="250">
        <v>0.56475980000000003</v>
      </c>
      <c r="H74" s="248">
        <v>0</v>
      </c>
      <c r="I74" s="254">
        <v>5</v>
      </c>
      <c r="J74" s="253">
        <v>797</v>
      </c>
      <c r="K74" s="250">
        <v>0.1907152</v>
      </c>
      <c r="L74" s="250">
        <v>0.65644400000000003</v>
      </c>
      <c r="M74" s="248">
        <v>0</v>
      </c>
      <c r="N74" s="254">
        <v>10</v>
      </c>
    </row>
    <row r="75" spans="4:14" x14ac:dyDescent="0.2">
      <c r="D75" s="27" t="s">
        <v>147</v>
      </c>
      <c r="E75" s="253">
        <v>797</v>
      </c>
      <c r="F75" s="250">
        <v>1.237139</v>
      </c>
      <c r="G75" s="250">
        <v>2.0975519999999999</v>
      </c>
      <c r="H75" s="248">
        <v>0</v>
      </c>
      <c r="I75" s="254">
        <v>30</v>
      </c>
      <c r="J75" s="253">
        <v>797</v>
      </c>
      <c r="K75" s="250">
        <v>1.19197</v>
      </c>
      <c r="L75" s="250">
        <v>1.624881</v>
      </c>
      <c r="M75" s="248">
        <v>0</v>
      </c>
      <c r="N75" s="254">
        <v>14</v>
      </c>
    </row>
    <row r="76" spans="4:14" x14ac:dyDescent="0.2">
      <c r="D76" s="27" t="s">
        <v>148</v>
      </c>
      <c r="E76" s="253">
        <v>797</v>
      </c>
      <c r="F76" s="250">
        <v>1704.366</v>
      </c>
      <c r="G76" s="250">
        <v>3768.9879999999998</v>
      </c>
      <c r="H76" s="248">
        <v>0</v>
      </c>
      <c r="I76" s="254">
        <v>75000</v>
      </c>
      <c r="J76" s="253">
        <v>797</v>
      </c>
      <c r="K76" s="250">
        <v>1573.502</v>
      </c>
      <c r="L76" s="250">
        <v>2568.4630000000002</v>
      </c>
      <c r="M76" s="248">
        <v>0</v>
      </c>
      <c r="N76" s="254">
        <v>25500</v>
      </c>
    </row>
    <row r="77" spans="4:14" x14ac:dyDescent="0.2">
      <c r="D77" s="27" t="s">
        <v>149</v>
      </c>
      <c r="E77" s="253">
        <v>797</v>
      </c>
      <c r="F77" s="250">
        <v>1508.0930000000001</v>
      </c>
      <c r="G77" s="250">
        <v>3715.37</v>
      </c>
      <c r="H77" s="248">
        <v>0</v>
      </c>
      <c r="I77" s="254">
        <v>75000</v>
      </c>
      <c r="J77" s="253">
        <v>797</v>
      </c>
      <c r="K77" s="250">
        <v>1358.4449999999999</v>
      </c>
      <c r="L77" s="250">
        <v>2225.5540000000001</v>
      </c>
      <c r="M77" s="248">
        <v>0</v>
      </c>
      <c r="N77" s="254">
        <v>21000</v>
      </c>
    </row>
    <row r="78" spans="4:14" x14ac:dyDescent="0.2">
      <c r="D78" s="27" t="s">
        <v>150</v>
      </c>
      <c r="E78" s="253">
        <v>797</v>
      </c>
      <c r="F78" s="250">
        <v>174.37889999999999</v>
      </c>
      <c r="G78" s="250">
        <v>554.96640000000002</v>
      </c>
      <c r="H78" s="248">
        <v>0</v>
      </c>
      <c r="I78" s="254">
        <v>6000</v>
      </c>
      <c r="J78" s="253">
        <v>797</v>
      </c>
      <c r="K78" s="250">
        <v>211.6688</v>
      </c>
      <c r="L78" s="250">
        <v>931.56640000000004</v>
      </c>
      <c r="M78" s="248">
        <v>0</v>
      </c>
      <c r="N78" s="254">
        <v>20000</v>
      </c>
    </row>
    <row r="79" spans="4:14" x14ac:dyDescent="0.2">
      <c r="D79" s="261" t="s">
        <v>151</v>
      </c>
      <c r="E79" s="253">
        <v>797</v>
      </c>
      <c r="F79" s="250">
        <v>248876.3</v>
      </c>
      <c r="G79" s="250">
        <v>5329995</v>
      </c>
      <c r="H79" s="248">
        <v>0</v>
      </c>
      <c r="I79" s="256">
        <v>150000000</v>
      </c>
      <c r="J79" s="253">
        <v>797</v>
      </c>
      <c r="K79" s="250">
        <v>1372664</v>
      </c>
      <c r="L79" s="250">
        <v>35500000</v>
      </c>
      <c r="M79" s="248">
        <v>0</v>
      </c>
      <c r="N79" s="256">
        <v>1000000000</v>
      </c>
    </row>
    <row r="80" spans="4:14" x14ac:dyDescent="0.2">
      <c r="D80" s="27" t="s">
        <v>152</v>
      </c>
      <c r="E80" s="253">
        <v>797</v>
      </c>
      <c r="F80" s="250">
        <v>337923.6</v>
      </c>
      <c r="G80" s="250">
        <v>6031826</v>
      </c>
      <c r="H80" s="248">
        <v>0</v>
      </c>
      <c r="I80" s="256">
        <v>150000000</v>
      </c>
      <c r="J80" s="253">
        <v>797</v>
      </c>
      <c r="K80" s="250">
        <v>1364085</v>
      </c>
      <c r="L80" s="250">
        <v>35500000</v>
      </c>
      <c r="M80" s="248">
        <v>0</v>
      </c>
      <c r="N80" s="256">
        <v>1000000000</v>
      </c>
    </row>
    <row r="81" spans="4:14" ht="16" thickBot="1" x14ac:dyDescent="0.25">
      <c r="D81" s="186" t="s">
        <v>153</v>
      </c>
      <c r="E81" s="257">
        <v>797</v>
      </c>
      <c r="F81" s="258">
        <v>8504.9490000000005</v>
      </c>
      <c r="G81" s="258">
        <v>58853.93</v>
      </c>
      <c r="H81" s="259">
        <v>0</v>
      </c>
      <c r="I81" s="263">
        <v>1505450</v>
      </c>
      <c r="J81" s="257">
        <v>797</v>
      </c>
      <c r="K81" s="258">
        <v>6618.3680000000004</v>
      </c>
      <c r="L81" s="258">
        <v>38303.85</v>
      </c>
      <c r="M81" s="259">
        <v>0</v>
      </c>
      <c r="N81" s="263">
        <v>900450</v>
      </c>
    </row>
    <row r="83" spans="4:14" x14ac:dyDescent="0.2">
      <c r="F83" s="156"/>
      <c r="G83" s="156"/>
      <c r="K83" s="156"/>
      <c r="L83" s="156"/>
    </row>
    <row r="84" spans="4:14" x14ac:dyDescent="0.2">
      <c r="F84" s="156"/>
      <c r="G84" s="156"/>
      <c r="K84" s="156"/>
      <c r="L84" s="156"/>
    </row>
    <row r="85" spans="4:14" x14ac:dyDescent="0.2">
      <c r="F85" s="156"/>
      <c r="G85" s="156"/>
      <c r="K85" s="156"/>
      <c r="L85" s="156"/>
    </row>
    <row r="86" spans="4:14" x14ac:dyDescent="0.2">
      <c r="F86" s="156"/>
      <c r="G86" s="156"/>
      <c r="K86" s="156"/>
      <c r="L86" s="156"/>
    </row>
    <row r="87" spans="4:14" x14ac:dyDescent="0.2">
      <c r="F87" s="156"/>
      <c r="G87" s="156"/>
      <c r="K87" s="156"/>
      <c r="L87" s="156"/>
    </row>
    <row r="88" spans="4:14" x14ac:dyDescent="0.2">
      <c r="F88" s="156"/>
      <c r="G88" s="156"/>
      <c r="K88" s="156"/>
      <c r="L88" s="156"/>
    </row>
    <row r="89" spans="4:14" x14ac:dyDescent="0.2">
      <c r="F89" s="156"/>
      <c r="G89" s="156"/>
      <c r="K89" s="156"/>
      <c r="L89" s="156"/>
    </row>
    <row r="90" spans="4:14" x14ac:dyDescent="0.2">
      <c r="F90" s="156"/>
      <c r="G90" s="156"/>
      <c r="K90" s="156"/>
      <c r="L90" s="156"/>
    </row>
    <row r="91" spans="4:14" x14ac:dyDescent="0.2">
      <c r="F91" s="156"/>
      <c r="G91" s="156"/>
      <c r="K91" s="156"/>
      <c r="L91" s="156"/>
    </row>
    <row r="92" spans="4:14" x14ac:dyDescent="0.2">
      <c r="F92" s="156"/>
      <c r="G92" s="156"/>
      <c r="K92" s="156"/>
      <c r="L92" s="156"/>
    </row>
    <row r="93" spans="4:14" x14ac:dyDescent="0.2">
      <c r="F93" s="156"/>
      <c r="G93" s="156"/>
      <c r="K93" s="156"/>
      <c r="L93" s="156"/>
    </row>
    <row r="94" spans="4:14" x14ac:dyDescent="0.2">
      <c r="F94" s="156"/>
      <c r="G94" s="156"/>
      <c r="K94" s="156"/>
      <c r="L94" s="156"/>
    </row>
    <row r="95" spans="4:14" x14ac:dyDescent="0.2">
      <c r="F95" s="156"/>
      <c r="G95" s="156"/>
      <c r="K95" s="156"/>
      <c r="L95" s="156"/>
    </row>
    <row r="96" spans="4:14" x14ac:dyDescent="0.2">
      <c r="F96" s="156"/>
      <c r="G96" s="156"/>
      <c r="K96" s="156"/>
      <c r="L96" s="156"/>
    </row>
    <row r="97" spans="6:12" x14ac:dyDescent="0.2">
      <c r="F97" s="156"/>
      <c r="G97" s="156"/>
      <c r="K97" s="156"/>
      <c r="L97" s="156"/>
    </row>
    <row r="98" spans="6:12" x14ac:dyDescent="0.2">
      <c r="F98" s="156"/>
      <c r="G98" s="156"/>
      <c r="K98" s="156"/>
      <c r="L98" s="156"/>
    </row>
    <row r="99" spans="6:12" x14ac:dyDescent="0.2">
      <c r="F99" s="156"/>
      <c r="G99" s="156"/>
      <c r="K99" s="156"/>
      <c r="L99" s="156"/>
    </row>
    <row r="100" spans="6:12" x14ac:dyDescent="0.2">
      <c r="F100" s="156"/>
      <c r="G100" s="156"/>
      <c r="K100" s="156"/>
      <c r="L100" s="156"/>
    </row>
    <row r="101" spans="6:12" x14ac:dyDescent="0.2">
      <c r="F101" s="156"/>
      <c r="G101" s="156"/>
      <c r="K101" s="156"/>
      <c r="L101" s="156"/>
    </row>
    <row r="102" spans="6:12" x14ac:dyDescent="0.2">
      <c r="F102" s="156"/>
      <c r="G102" s="156"/>
      <c r="K102" s="156"/>
      <c r="L102" s="156"/>
    </row>
    <row r="103" spans="6:12" x14ac:dyDescent="0.2">
      <c r="F103" s="156"/>
      <c r="G103" s="156"/>
      <c r="K103" s="156"/>
      <c r="L103" s="156"/>
    </row>
    <row r="104" spans="6:12" x14ac:dyDescent="0.2">
      <c r="F104" s="156"/>
      <c r="G104" s="156"/>
      <c r="K104" s="156"/>
      <c r="L104" s="156"/>
    </row>
  </sheetData>
  <mergeCells count="12">
    <mergeCell ref="P4:Z4"/>
    <mergeCell ref="E5:I5"/>
    <mergeCell ref="J5:N5"/>
    <mergeCell ref="D4:N4"/>
    <mergeCell ref="J61:N61"/>
    <mergeCell ref="E61:I61"/>
    <mergeCell ref="D60:N60"/>
    <mergeCell ref="P13:Z13"/>
    <mergeCell ref="Q14:U14"/>
    <mergeCell ref="V14:Z14"/>
    <mergeCell ref="Q5:U5"/>
    <mergeCell ref="V5: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Variable Descriptions</vt:lpstr>
      <vt:lpstr>Variable Codes</vt:lpstr>
      <vt:lpstr>Plot Management</vt:lpstr>
      <vt:lpstr>Assets</vt:lpstr>
      <vt:lpstr>Processing</vt:lpstr>
      <vt:lpstr>Institutions</vt:lpstr>
      <vt:lpstr>Cassava Use (Module J)</vt:lpstr>
      <vt:lpstr>Summary Statistics Demographics</vt:lpstr>
      <vt:lpstr>Summary Statistics - Plots</vt:lpstr>
      <vt:lpstr>Summary Stats - Institutions</vt:lpstr>
      <vt:lpstr>Summary Stats - Cassava Consump</vt:lpstr>
      <vt:lpstr>Summary Statistics -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Trent Davis</cp:lastModifiedBy>
  <dcterms:created xsi:type="dcterms:W3CDTF">2020-06-09T15:08:53Z</dcterms:created>
  <dcterms:modified xsi:type="dcterms:W3CDTF">2020-06-10T17:07:44Z</dcterms:modified>
</cp:coreProperties>
</file>